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lculator" sheetId="1" state="visible" r:id="rId1"/>
    <sheet name="Assumptions" sheetId="2" state="visible" r:id="rId2"/>
    <sheet name="Bundles" sheetId="3" state="visible" r:id="rId3"/>
    <sheet name="Driver Ledge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$#,##0;($#,##0)"/>
    <numFmt numFmtId="166" formatCode="$#,##0.0000;($#,##0.0000)"/>
    <numFmt numFmtId="167" formatCode="$#,##0.00;($#,##0.00)"/>
    <numFmt numFmtId="168" formatCode="$#,##0.0000"/>
    <numFmt numFmtId="169" formatCode="$#,##0.00"/>
    <numFmt numFmtId="170" formatCode="#,##0.0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</font>
    <font>
      <name val="Arial"/>
      <color rgb="00000000"/>
    </font>
    <font>
      <name val="Arial"/>
      <color rgb="000000FF"/>
    </font>
    <font>
      <name val="Arial"/>
      <i val="1"/>
      <color rgb="00808080"/>
    </font>
    <font>
      <name val="Arial"/>
      <b val="1"/>
      <sz val="11"/>
    </font>
    <font>
      <name val="Arial"/>
      <b val="1"/>
    </font>
    <font>
      <name val="Arial"/>
      <i val="1"/>
    </font>
  </fonts>
  <fills count="6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FF00"/>
      </patternFill>
    </fill>
    <fill>
      <patternFill patternType="solid">
        <fgColor rgb="00D9E1F2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6" fillId="4" borderId="0" pivotButton="0" quotePrefix="0" xfId="0"/>
    <xf numFmtId="0" fontId="0" fillId="4" borderId="0" pivotButton="0" quotePrefix="0" xfId="0"/>
    <xf numFmtId="0" fontId="3" fillId="0" borderId="0" pivotButton="0" quotePrefix="0" xfId="0"/>
    <xf numFmtId="3" fontId="4" fillId="3" borderId="0" pivotButton="0" quotePrefix="0" xfId="0"/>
    <xf numFmtId="164" fontId="4" fillId="3" borderId="0" pivotButton="0" quotePrefix="0" xfId="0"/>
    <xf numFmtId="0" fontId="6" fillId="0" borderId="0" pivotButton="0" quotePrefix="0" xfId="0"/>
    <xf numFmtId="0" fontId="2" fillId="2" borderId="1" pivotButton="0" quotePrefix="0" xfId="0"/>
    <xf numFmtId="0" fontId="0" fillId="0" borderId="1" pivotButton="0" quotePrefix="0" xfId="0"/>
    <xf numFmtId="3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horizontal="right"/>
    </xf>
    <xf numFmtId="0" fontId="8" fillId="0" borderId="1" pivotButton="0" quotePrefix="0" xfId="0"/>
    <xf numFmtId="0" fontId="7" fillId="5" borderId="1" pivotButton="0" quotePrefix="0" xfId="0"/>
    <xf numFmtId="0" fontId="0" fillId="5" borderId="1" pivotButton="0" quotePrefix="0" xfId="0"/>
    <xf numFmtId="165" fontId="7" fillId="5" borderId="1" pivotButton="0" quotePrefix="0" xfId="0"/>
    <xf numFmtId="164" fontId="7" fillId="5" borderId="1" pivotButton="0" quotePrefix="0" xfId="0"/>
    <xf numFmtId="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0" fontId="7" fillId="0" borderId="0" pivotButton="0" quotePrefix="0" xfId="0"/>
    <xf numFmtId="165" fontId="7" fillId="0" borderId="0" pivotButton="0" quotePrefix="0" xfId="0"/>
    <xf numFmtId="164" fontId="7" fillId="0" borderId="0" pivotButton="0" quotePrefix="0" xfId="0"/>
    <xf numFmtId="0" fontId="2" fillId="2" borderId="0" pivotButton="0" quotePrefix="0" xfId="0"/>
    <xf numFmtId="166" fontId="4" fillId="3" borderId="0" pivotButton="0" quotePrefix="0" xfId="0"/>
    <xf numFmtId="166" fontId="0" fillId="0" borderId="0" pivotButton="0" quotePrefix="0" xfId="0"/>
    <xf numFmtId="0" fontId="7" fillId="5" borderId="0" pivotButton="0" quotePrefix="0" xfId="0"/>
    <xf numFmtId="166" fontId="7" fillId="5" borderId="0" pivotButton="0" quotePrefix="0" xfId="0"/>
    <xf numFmtId="4" fontId="7" fillId="5" borderId="0" pivotButton="0" quotePrefix="0" xfId="0"/>
    <xf numFmtId="164" fontId="0" fillId="0" borderId="0" pivotButton="0" quotePrefix="0" xfId="0"/>
    <xf numFmtId="167" fontId="0" fillId="0" borderId="0" pivotButton="0" quotePrefix="0" xfId="0"/>
    <xf numFmtId="0" fontId="3" fillId="4" borderId="1" pivotButton="0" quotePrefix="0" xfId="0"/>
    <xf numFmtId="0" fontId="3" fillId="0" borderId="1" pivotButton="0" quotePrefix="0" xfId="0"/>
    <xf numFmtId="166" fontId="3" fillId="0" borderId="1" pivotButton="0" quotePrefix="0" xfId="0"/>
    <xf numFmtId="4" fontId="3" fillId="0" borderId="1" pivotButton="0" quotePrefix="0" xfId="0"/>
    <xf numFmtId="166" fontId="7" fillId="5" borderId="1" pivotButton="0" quotePrefix="0" xfId="0"/>
    <xf numFmtId="164" fontId="4" fillId="3" borderId="0" pivotButton="0" quotePrefix="0" xfId="0"/>
    <xf numFmtId="165" fontId="0" fillId="0" borderId="1" pivotButton="0" quotePrefix="0" xfId="0"/>
    <xf numFmtId="164" fontId="0" fillId="0" borderId="1" pivotButton="0" quotePrefix="0" xfId="0"/>
    <xf numFmtId="165" fontId="7" fillId="5" borderId="1" pivotButton="0" quotePrefix="0" xfId="0"/>
    <xf numFmtId="164" fontId="7" fillId="5" borderId="1" pivotButton="0" quotePrefix="0" xfId="0"/>
    <xf numFmtId="165" fontId="0" fillId="0" borderId="0" pivotButton="0" quotePrefix="0" xfId="0"/>
    <xf numFmtId="165" fontId="7" fillId="0" borderId="0" pivotButton="0" quotePrefix="0" xfId="0"/>
    <xf numFmtId="164" fontId="7" fillId="0" borderId="0" pivotButton="0" quotePrefix="0" xfId="0"/>
    <xf numFmtId="168" fontId="4" fillId="3" borderId="0" pivotButton="0" quotePrefix="0" xfId="0"/>
    <xf numFmtId="169" fontId="4" fillId="3" borderId="0" pivotButton="0" quotePrefix="0" xfId="0"/>
    <xf numFmtId="170" fontId="4" fillId="3" borderId="0" pivotButton="0" quotePrefix="0" xfId="0"/>
    <xf numFmtId="166" fontId="0" fillId="0" borderId="0" pivotButton="0" quotePrefix="0" xfId="0"/>
    <xf numFmtId="166" fontId="7" fillId="5" borderId="0" pivotButton="0" quotePrefix="0" xfId="0"/>
    <xf numFmtId="164" fontId="0" fillId="0" borderId="0" pivotButton="0" quotePrefix="0" xfId="0"/>
    <xf numFmtId="167" fontId="0" fillId="0" borderId="0" pivotButton="0" quotePrefix="0" xfId="0"/>
    <xf numFmtId="166" fontId="3" fillId="0" borderId="1" pivotButton="0" quotePrefix="0" xfId="0"/>
    <xf numFmtId="166" fontId="7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5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ARCOVA CREDIT &amp; MARGIN CALCULATOR</t>
        </is>
      </c>
    </row>
    <row r="2">
      <c r="A2" s="2" t="inlineStr">
        <is>
          <t>Set the two pickers (yellow). Everything below recomputes. Starter = flat, $149/mo, 500 credits + 25 net-new.</t>
        </is>
      </c>
    </row>
    <row r="4">
      <c r="A4" s="3" t="inlineStr">
        <is>
          <t>INPUTS</t>
        </is>
      </c>
      <c r="B4" s="4" t="n"/>
      <c r="C4" s="4" t="n"/>
    </row>
    <row r="5">
      <c r="A5" s="5" t="inlineStr">
        <is>
          <t>Imported contacts (enrich your own data)</t>
        </is>
      </c>
      <c r="C5" s="6" t="n">
        <v>5000</v>
      </c>
    </row>
    <row r="6">
      <c r="A6" s="5" t="inlineStr">
        <is>
          <t>Net-new leads purchased (/data discovery)</t>
        </is>
      </c>
      <c r="C6" s="6" t="n">
        <v>1000</v>
      </c>
    </row>
    <row r="7">
      <c r="A7" s="5" t="inlineStr">
        <is>
          <t>% good-fit (drives monitoring volume)</t>
        </is>
      </c>
      <c r="C7" s="40" t="n">
        <v>0.4</v>
      </c>
    </row>
    <row r="8">
      <c r="A8" s="5" t="inlineStr">
        <is>
          <t>Monitoring sweeps / month (1=Starter monthly)</t>
        </is>
      </c>
      <c r="C8" s="6" t="n">
        <v>1</v>
      </c>
    </row>
    <row r="9">
      <c r="A9" s="5" t="inlineStr">
        <is>
          <t>Phone-reveal rate (% of contacts)</t>
        </is>
      </c>
      <c r="C9" s="40" t="n">
        <v>0.05</v>
      </c>
    </row>
    <row r="10">
      <c r="A10" s="5" t="inlineStr">
        <is>
          <t>Months horizon</t>
        </is>
      </c>
      <c r="C10" s="6" t="n">
        <v>1</v>
      </c>
    </row>
    <row r="12">
      <c r="A12" s="8" t="inlineStr">
        <is>
          <t>SCENARIO ROLL-UP</t>
        </is>
      </c>
    </row>
    <row r="13">
      <c r="A13" s="9" t="inlineStr">
        <is>
          <t>Stream</t>
        </is>
      </c>
      <c r="B13" s="9" t="inlineStr">
        <is>
          <t>Volume</t>
        </is>
      </c>
      <c r="C13" s="9" t="inlineStr">
        <is>
          <t>Credits</t>
        </is>
      </c>
      <c r="D13" s="9" t="inlineStr">
        <is>
          <t>Cost $</t>
        </is>
      </c>
      <c r="E13" s="9" t="inlineStr">
        <is>
          <t>Revenue $</t>
        </is>
      </c>
      <c r="F13" s="9" t="inlineStr">
        <is>
          <t>Profit $</t>
        </is>
      </c>
      <c r="G13" s="9" t="inlineStr">
        <is>
          <t>Margin %</t>
        </is>
      </c>
    </row>
    <row r="14">
      <c r="A14" s="10" t="inlineStr">
        <is>
          <t>Import enrichment</t>
        </is>
      </c>
      <c r="B14" s="11">
        <f>C5</f>
        <v/>
      </c>
      <c r="C14" s="12">
        <f>C5*Bundles!$C$8</f>
        <v/>
      </c>
      <c r="D14" s="41">
        <f>C5*Bundles!$B$8</f>
        <v/>
      </c>
      <c r="E14" s="41">
        <f>C14*Assumptions!$B$11</f>
        <v/>
      </c>
      <c r="F14" s="41">
        <f>E14-D14</f>
        <v/>
      </c>
      <c r="G14" s="42">
        <f>IFERROR(F14/E14,0)</f>
        <v/>
      </c>
    </row>
    <row r="15">
      <c r="A15" s="10" t="inlineStr">
        <is>
          <t>Phone reveals</t>
        </is>
      </c>
      <c r="B15" s="11">
        <f>C5*C9</f>
        <v/>
      </c>
      <c r="C15" s="12">
        <f>B15*3.5</f>
        <v/>
      </c>
      <c r="D15" s="41">
        <f>B15*Assumptions!$B$3*Assumptions!$B$16</f>
        <v/>
      </c>
      <c r="E15" s="41">
        <f>C15*Assumptions!$B$11</f>
        <v/>
      </c>
      <c r="F15" s="41">
        <f>E15-D15</f>
        <v/>
      </c>
      <c r="G15" s="42">
        <f>IFERROR(F15/E15,0)</f>
        <v/>
      </c>
    </row>
    <row r="16">
      <c r="A16" s="10" t="inlineStr">
        <is>
          <t>Net-new discovery</t>
        </is>
      </c>
      <c r="B16" s="11">
        <f>C6</f>
        <v/>
      </c>
      <c r="C16" s="15" t="inlineStr">
        <is>
          <t>—</t>
        </is>
      </c>
      <c r="D16" s="41">
        <f>C6*Bundles!$B$23</f>
        <v/>
      </c>
      <c r="E16" s="41">
        <f>C6*Assumptions!$B$12</f>
        <v/>
      </c>
      <c r="F16" s="41">
        <f>E16-D16</f>
        <v/>
      </c>
      <c r="G16" s="42">
        <f>IFERROR(F16/E16,0)</f>
        <v/>
      </c>
    </row>
    <row r="17">
      <c r="A17" s="16" t="inlineStr">
        <is>
          <t>Monitoring (if CHARGED)</t>
        </is>
      </c>
      <c r="B17" s="11">
        <f>(C5+C6)*C7</f>
        <v/>
      </c>
      <c r="C17" s="12">
        <f>B17*0.08*C8*C10</f>
        <v/>
      </c>
      <c r="D17" s="41">
        <f>B17*Assumptions!$B$4*C8*C10</f>
        <v/>
      </c>
      <c r="E17" s="41">
        <f>C17*Assumptions!$B$11</f>
        <v/>
      </c>
      <c r="F17" s="41">
        <f>E17-D17</f>
        <v/>
      </c>
      <c r="G17" s="42">
        <f>IFERROR(F17/E17,0)</f>
        <v/>
      </c>
    </row>
    <row r="19">
      <c r="A19" s="17" t="inlineStr">
        <is>
          <t>TOTAL — monitoring CHARGED</t>
        </is>
      </c>
      <c r="B19" s="18" t="n"/>
      <c r="C19" s="18" t="n"/>
      <c r="D19" s="43">
        <f>SUM(D14:D17)</f>
        <v/>
      </c>
      <c r="E19" s="43">
        <f>SUM(E14:E17)</f>
        <v/>
      </c>
      <c r="F19" s="43">
        <f>E19-D19</f>
        <v/>
      </c>
      <c r="G19" s="44">
        <f>IFERROR(F19/E19,0)</f>
        <v/>
      </c>
    </row>
    <row r="20">
      <c r="A20" s="17" t="inlineStr">
        <is>
          <t>TOTAL — monitoring ABSORBED</t>
        </is>
      </c>
      <c r="B20" s="18" t="n"/>
      <c r="C20" s="18" t="n"/>
      <c r="D20" s="43">
        <f>SUM(D14:D17)</f>
        <v/>
      </c>
      <c r="E20" s="43">
        <f>SUM(E14:E16)</f>
        <v/>
      </c>
      <c r="F20" s="43">
        <f>E20-D20</f>
        <v/>
      </c>
      <c r="G20" s="44">
        <f>IFERROR(F20/E20,0)</f>
        <v/>
      </c>
    </row>
    <row r="23">
      <c r="A23" s="3" t="inlineStr">
        <is>
          <t>STARTER PLAN CONTEXT (flat $149/mo · 500 credits · 25 net-new)</t>
        </is>
      </c>
    </row>
    <row r="24">
      <c r="A24" s="5" t="inlineStr">
        <is>
          <t>Enrichment credits consumed (import + phone)</t>
        </is>
      </c>
      <c r="C24" s="21">
        <f>C14+C15</f>
        <v/>
      </c>
    </row>
    <row r="25">
      <c r="A25" s="5" t="inlineStr">
        <is>
          <t>Starter monthly credit grant</t>
        </is>
      </c>
      <c r="C25" s="22" t="n">
        <v>500</v>
      </c>
    </row>
    <row r="26">
      <c r="A26" s="5" t="inlineStr">
        <is>
          <t>Credit packs needed (1,000 @ $100)</t>
        </is>
      </c>
      <c r="C26" s="22">
        <f>MAX(0,ROUNDUP((C24-C25)/1000,0))</f>
        <v/>
      </c>
    </row>
    <row r="27">
      <c r="A27" s="5" t="inlineStr">
        <is>
          <t>Pack cost $</t>
        </is>
      </c>
      <c r="C27" s="45">
        <f>C26*100</f>
        <v/>
      </c>
    </row>
    <row r="28">
      <c r="A28" s="5" t="inlineStr">
        <is>
          <t>Net-new leads purchased</t>
        </is>
      </c>
      <c r="C28" s="22">
        <f>C6</f>
        <v/>
      </c>
    </row>
    <row r="29">
      <c r="A29" s="5" t="inlineStr">
        <is>
          <t>Net-new included</t>
        </is>
      </c>
      <c r="C29" s="22" t="inlineStr">
        <is>
          <t>25</t>
        </is>
      </c>
    </row>
    <row r="30">
      <c r="A30" s="5" t="inlineStr">
        <is>
          <t>Net-new overage leads</t>
        </is>
      </c>
      <c r="C30" s="22">
        <f>MAX(0,C28-C29)</f>
        <v/>
      </c>
    </row>
    <row r="31">
      <c r="A31" s="5" t="inlineStr">
        <is>
          <t>Net-new overage $ (@ $1.00)</t>
        </is>
      </c>
      <c r="C31" s="45">
        <f>C30*1</f>
        <v/>
      </c>
    </row>
    <row r="32">
      <c r="A32" s="24" t="inlineStr">
        <is>
          <t>REVENUE to Arcova (base $149 + packs + net-new overage)</t>
        </is>
      </c>
      <c r="C32" s="46">
        <f>149+C27+C31</f>
        <v/>
      </c>
    </row>
    <row r="33">
      <c r="A33" s="5" t="inlineStr">
        <is>
          <t>Total COGS (this scenario, monitoring absorbed)</t>
        </is>
      </c>
      <c r="C33" s="45">
        <f>D20</f>
        <v/>
      </c>
    </row>
    <row r="34">
      <c r="A34" s="24" t="inlineStr">
        <is>
          <t>Gross profit $</t>
        </is>
      </c>
      <c r="C34" s="46">
        <f>C32-C33</f>
        <v/>
      </c>
    </row>
    <row r="35">
      <c r="A35" s="24" t="inlineStr">
        <is>
          <t>Gross margin %</t>
        </is>
      </c>
      <c r="C35" s="47">
        <f>IFERROR(C34/C32,0)</f>
        <v/>
      </c>
    </row>
  </sheetData>
  <dataValidations count="2">
    <dataValidation sqref="C5" showDropDown="0" showInputMessage="0" showErrorMessage="0" allowBlank="1" type="list">
      <formula1>"100,500,1000,5000,10000,25000,50000"</formula1>
    </dataValidation>
    <dataValidation sqref="C6" showDropDown="0" showInputMessage="0" showErrorMessage="0" allowBlank="1" type="list">
      <formula1>"0,100,500,1000,5000,10000"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30" customWidth="1" min="3" max="3"/>
  </cols>
  <sheetData>
    <row r="1">
      <c r="A1" s="1" t="inlineStr">
        <is>
          <t>ASSUMPTIONS — edit the blue values to flex the whole model</t>
        </is>
      </c>
    </row>
    <row r="2">
      <c r="A2" s="27" t="inlineStr">
        <is>
          <t>Parameter</t>
        </is>
      </c>
      <c r="B2" s="27" t="inlineStr">
        <is>
          <t>Value</t>
        </is>
      </c>
      <c r="C2" s="27" t="inlineStr">
        <is>
          <t>Note</t>
        </is>
      </c>
    </row>
    <row r="3">
      <c r="A3" s="5" t="inlineStr">
        <is>
          <t>Apollo $ / credit</t>
        </is>
      </c>
      <c r="B3" s="48" t="n">
        <v>0.02</v>
      </c>
      <c r="C3" s="2" t="inlineStr">
        <is>
          <t>mid-tier paid; free today</t>
        </is>
      </c>
    </row>
    <row r="4">
      <c r="A4" s="5" t="inlineStr">
        <is>
          <t>Apify scrape $ (profile/company)</t>
        </is>
      </c>
      <c r="B4" s="48" t="n">
        <v>0.004</v>
      </c>
      <c r="C4" s="2" t="inlineStr"/>
    </row>
    <row r="5">
      <c r="A5" s="5" t="inlineStr">
        <is>
          <t>Apify job $ (per job)</t>
        </is>
      </c>
      <c r="B5" s="48" t="n">
        <v>0.001</v>
      </c>
      <c r="C5" s="2" t="inlineStr"/>
    </row>
    <row r="6">
      <c r="A6" s="5" t="inlineStr">
        <is>
          <t>ZeroBounce validate $</t>
        </is>
      </c>
      <c r="B6" s="48" t="n">
        <v>0.005</v>
      </c>
      <c r="C6" s="2" t="inlineStr">
        <is>
          <t>only if not Apollo-validated</t>
        </is>
      </c>
    </row>
    <row r="7">
      <c r="A7" s="5" t="inlineStr">
        <is>
          <t>ZeroBounce finder $</t>
        </is>
      </c>
      <c r="B7" s="49" t="n">
        <v>0.1</v>
      </c>
      <c r="C7" s="2" t="inlineStr">
        <is>
          <t>20 ZB credits</t>
        </is>
      </c>
    </row>
    <row r="8">
      <c r="A8" s="5" t="inlineStr">
        <is>
          <t>Haiku call $ (triage/fit-screen)</t>
        </is>
      </c>
      <c r="B8" s="48" t="n">
        <v>0.003</v>
      </c>
      <c r="C8" s="2" t="inlineStr">
        <is>
          <t>~2.5k in + 250 out</t>
        </is>
      </c>
    </row>
    <row r="9">
      <c r="A9" s="5" t="inlineStr">
        <is>
          <t>Web-search LLM call $</t>
        </is>
      </c>
      <c r="B9" s="48" t="n">
        <v>0.015</v>
      </c>
      <c r="C9" s="2" t="inlineStr"/>
    </row>
    <row r="10">
      <c r="A10" s="5" t="inlineStr">
        <is>
          <t>Sonnet outreach $</t>
        </is>
      </c>
      <c r="B10" s="48" t="n">
        <v>0.04</v>
      </c>
      <c r="C10" s="2" t="inlineStr"/>
    </row>
    <row r="11">
      <c r="A11" s="5" t="inlineStr">
        <is>
          <t>SELL $ / credit</t>
        </is>
      </c>
      <c r="B11" s="49" t="n">
        <v>0.1</v>
      </c>
      <c r="C11" s="2" t="inlineStr">
        <is>
          <t>pack rate = $100 / 1,000</t>
        </is>
      </c>
    </row>
    <row r="12">
      <c r="A12" s="5" t="inlineStr">
        <is>
          <t>Net-new SELL $ / lead</t>
        </is>
      </c>
      <c r="B12" s="49" t="n">
        <v>1</v>
      </c>
      <c r="C12" s="2" t="inlineStr">
        <is>
          <t>premium meter B</t>
        </is>
      </c>
    </row>
    <row r="13">
      <c r="A13" s="5" t="inlineStr">
        <is>
          <t>Credit COGS basis $ / credit</t>
        </is>
      </c>
      <c r="B13" s="49" t="n">
        <v>0.05</v>
      </c>
      <c r="C13" s="2" t="inlineStr">
        <is>
          <t>1 credit = 1 enriched lead</t>
        </is>
      </c>
    </row>
    <row r="14">
      <c r="A14" s="5" t="inlineStr">
        <is>
          <t>Contacts per company (amortization)</t>
        </is>
      </c>
      <c r="B14" s="50" t="n">
        <v>2.5</v>
      </c>
      <c r="C14" s="2" t="inlineStr">
        <is>
          <t>company-level cost / this</t>
        </is>
      </c>
    </row>
    <row r="15">
      <c r="A15" s="5" t="inlineStr">
        <is>
          <t>Email-validate rate (share needing ZB)</t>
        </is>
      </c>
      <c r="B15" s="40" t="n">
        <v>0.6</v>
      </c>
      <c r="C15" s="2" t="inlineStr">
        <is>
          <t>rest already Apollo-valid</t>
        </is>
      </c>
    </row>
    <row r="16">
      <c r="A16" s="5" t="inlineStr">
        <is>
          <t>Phone reveal — Apollo credits</t>
        </is>
      </c>
      <c r="B16" s="6" t="n">
        <v>8</v>
      </c>
      <c r="C16" s="2" t="inlineStr"/>
    </row>
    <row r="17">
      <c r="A17" s="5" t="inlineStr">
        <is>
          <t>Apollo company-search $ / lead</t>
        </is>
      </c>
      <c r="B17" s="48" t="n">
        <v>0.004</v>
      </c>
      <c r="C17" s="2" t="inlineStr"/>
    </row>
    <row r="18">
      <c r="A18" s="5" t="inlineStr">
        <is>
          <t>Apollo people-search $ / lead</t>
        </is>
      </c>
      <c r="B18" s="48" t="n">
        <v>0.002</v>
      </c>
      <c r="C18" s="2" t="inlineStr"/>
    </row>
    <row r="19">
      <c r="A19" s="5" t="inlineStr">
        <is>
          <t>LLM small call $</t>
        </is>
      </c>
      <c r="B19" s="48" t="n">
        <v>0.01</v>
      </c>
      <c r="C19" s="2" t="inlineStr"/>
    </row>
    <row r="20">
      <c r="A20" s="5" t="inlineStr">
        <is>
          <t>Haiku tiny $ (classify)</t>
        </is>
      </c>
      <c r="B20" s="48" t="n">
        <v>0.0005</v>
      </c>
      <c r="C20" s="2" t="inlineStr"/>
    </row>
    <row r="21">
      <c r="A21" s="5" t="inlineStr">
        <is>
          <t>Agent turn $ (side panel)</t>
        </is>
      </c>
      <c r="B21" s="48" t="n">
        <v>0.012</v>
      </c>
      <c r="C21" s="2" t="inlineStr"/>
    </row>
    <row r="22">
      <c r="A22" s="5" t="inlineStr">
        <is>
          <t>Central agent turn $</t>
        </is>
      </c>
      <c r="B22" s="48" t="n">
        <v>0.02</v>
      </c>
      <c r="C22" s="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cols>
    <col width="52" customWidth="1" min="1" max="1"/>
    <col width="14" customWidth="1" min="2" max="2"/>
    <col width="16" customWidth="1" min="3" max="3"/>
  </cols>
  <sheetData>
    <row r="1">
      <c r="A1" s="1" t="inlineStr">
        <is>
          <t>BUNDLED SEQUENCES — actions that fire together as one billable unit</t>
        </is>
      </c>
    </row>
    <row r="3">
      <c r="A3" s="3" t="inlineStr">
        <is>
          <t>BUNDLE 1 — Import lead enrich (per imported contact)</t>
        </is>
      </c>
    </row>
    <row r="4">
      <c r="A4" s="27" t="inlineStr">
        <is>
          <t>Component</t>
        </is>
      </c>
      <c r="B4" s="27" t="inlineStr">
        <is>
          <t>Cost $</t>
        </is>
      </c>
      <c r="C4" s="27" t="inlineStr">
        <is>
          <t>Credits (charged)</t>
        </is>
      </c>
    </row>
    <row r="5">
      <c r="A5" t="inlineStr">
        <is>
          <t>Triage (contact + company ÷ cpc)</t>
        </is>
      </c>
      <c r="B5" s="51">
        <f>Assumptions!$B$8+Assumptions!$B$8/Assumptions!$B$14</f>
        <v/>
      </c>
      <c r="C5" s="21">
        <f>0.05+0.05/Assumptions!$B$14</f>
        <v/>
      </c>
    </row>
    <row r="6">
      <c r="A6" t="inlineStr">
        <is>
          <t>Lead enrich (contact + company + 2 scrapes, co. amortized)</t>
        </is>
      </c>
      <c r="B6" s="51">
        <f>Assumptions!$B$3+Assumptions!$B$4+Assumptions!$B$3/Assumptions!$B$14+Assumptions!$B$4/Assumptions!$B$14</f>
        <v/>
      </c>
      <c r="C6" s="21" t="n">
        <v>1</v>
      </c>
    </row>
    <row r="7">
      <c r="A7" t="inlineStr">
        <is>
          <t>Email validate (× rate needing ZB)</t>
        </is>
      </c>
      <c r="B7" s="51">
        <f>Assumptions!$B$6*Assumptions!$B$15</f>
        <v/>
      </c>
      <c r="C7" s="21">
        <f>0.1*Assumptions!$B$15</f>
        <v/>
      </c>
    </row>
    <row r="8">
      <c r="A8" s="30" t="inlineStr">
        <is>
          <t>TOTAL per contact</t>
        </is>
      </c>
      <c r="B8" s="52">
        <f>SUM(B5:B7)</f>
        <v/>
      </c>
      <c r="C8" s="32">
        <f>SUM(C5:C7)</f>
        <v/>
      </c>
    </row>
    <row r="9">
      <c r="A9" t="inlineStr">
        <is>
          <t>Sell $ / contact (credits × sell rate)</t>
        </is>
      </c>
      <c r="B9" s="51">
        <f>C8*Assumptions!$B$11</f>
        <v/>
      </c>
    </row>
    <row r="10">
      <c r="A10" t="inlineStr">
        <is>
          <t>Profit $ / contact</t>
        </is>
      </c>
      <c r="B10" s="51">
        <f>B9-B8</f>
        <v/>
      </c>
    </row>
    <row r="11">
      <c r="A11" t="inlineStr">
        <is>
          <t>Margin %</t>
        </is>
      </c>
      <c r="B11" s="53">
        <f>IFERROR(B10/B9,0)</f>
        <v/>
      </c>
    </row>
    <row r="14">
      <c r="A14" s="3" t="inlineStr">
        <is>
          <t>BUNDLE 2 — Net-new lead via /data discovery (per delivered lead)</t>
        </is>
      </c>
    </row>
    <row r="15">
      <c r="A15" s="27" t="inlineStr">
        <is>
          <t>Component</t>
        </is>
      </c>
      <c r="B15" s="27" t="inlineStr">
        <is>
          <t>Cost $</t>
        </is>
      </c>
    </row>
    <row r="16">
      <c r="A16" t="inlineStr">
        <is>
          <t>Company search</t>
        </is>
      </c>
      <c r="B16" s="51">
        <f>Assumptions!$B$17</f>
        <v/>
      </c>
    </row>
    <row r="17">
      <c r="A17" t="inlineStr">
        <is>
          <t>People search</t>
        </is>
      </c>
      <c r="B17" s="51">
        <f>Assumptions!$B$18</f>
        <v/>
      </c>
    </row>
    <row r="18">
      <c r="A18" t="inlineStr">
        <is>
          <t>Candidate fit-screen</t>
        </is>
      </c>
      <c r="B18" s="51">
        <f>Assumptions!$B$8</f>
        <v/>
      </c>
    </row>
    <row r="19">
      <c r="A19" t="inlineStr">
        <is>
          <t>Company enrich (÷ cpc)</t>
        </is>
      </c>
      <c r="B19" s="51">
        <f>Assumptions!$B$3/Assumptions!$B$14</f>
        <v/>
      </c>
    </row>
    <row r="20">
      <c r="A20" t="inlineStr">
        <is>
          <t>Person enrich</t>
        </is>
      </c>
      <c r="B20" s="51">
        <f>Assumptions!$B$3</f>
        <v/>
      </c>
    </row>
    <row r="21">
      <c r="A21" t="inlineStr">
        <is>
          <t>Profile + company scrape</t>
        </is>
      </c>
      <c r="B21" s="51">
        <f>Assumptions!$B$4+Assumptions!$B$4/Assumptions!$B$14</f>
        <v/>
      </c>
    </row>
    <row r="22">
      <c r="A22" t="inlineStr">
        <is>
          <t>Email validate</t>
        </is>
      </c>
      <c r="B22" s="51">
        <f>Assumptions!$B$6</f>
        <v/>
      </c>
    </row>
    <row r="23">
      <c r="A23" s="30" t="inlineStr">
        <is>
          <t>TOTAL cost / lead</t>
        </is>
      </c>
      <c r="B23" s="52">
        <f>SUM(B16:B22)</f>
        <v/>
      </c>
    </row>
    <row r="24">
      <c r="A24" t="inlineStr">
        <is>
          <t>Sell $ / lead (Meter B, premium)</t>
        </is>
      </c>
      <c r="B24" s="54">
        <f>Assumptions!$B$12</f>
        <v/>
      </c>
    </row>
    <row r="25">
      <c r="A25" t="inlineStr">
        <is>
          <t>Profit $ / lead</t>
        </is>
      </c>
      <c r="B25" s="54">
        <f>B24-B23</f>
        <v/>
      </c>
    </row>
    <row r="26">
      <c r="A26" t="inlineStr">
        <is>
          <t>Margin %</t>
        </is>
      </c>
      <c r="B26" s="53">
        <f>IFERROR(B25/B24,0)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4" customWidth="1" min="2" max="2"/>
    <col width="34" customWidth="1" min="3" max="3"/>
    <col width="24" customWidth="1" min="4" max="4"/>
    <col width="13" customWidth="1" min="5" max="5"/>
    <col width="13" customWidth="1" min="6" max="6"/>
    <col width="28" customWidth="1" min="7" max="7"/>
  </cols>
  <sheetData>
    <row r="1">
      <c r="A1" s="1" t="inlineStr">
        <is>
          <t>MASTER DRIVER LEDGER — every cost-incurring action (47)</t>
        </is>
      </c>
    </row>
    <row r="2">
      <c r="A2" s="9" t="inlineStr">
        <is>
          <t>Category</t>
        </is>
      </c>
      <c r="B2" s="9" t="inlineStr">
        <is>
          <t>#</t>
        </is>
      </c>
      <c r="C2" s="9" t="inlineStr">
        <is>
          <t>Driver</t>
        </is>
      </c>
      <c r="D2" s="9" t="inlineStr">
        <is>
          <t>Provider / mechanism</t>
        </is>
      </c>
      <c r="E2" s="9" t="inlineStr">
        <is>
          <t>Cost / unit $</t>
        </is>
      </c>
      <c r="F2" s="9" t="inlineStr">
        <is>
          <t>If charged (cr)</t>
        </is>
      </c>
      <c r="G2" s="9" t="inlineStr">
        <is>
          <t>Treatment</t>
        </is>
      </c>
    </row>
    <row r="3">
      <c r="A3" s="35" t="inlineStr">
        <is>
          <t>Setup (one-time)</t>
        </is>
      </c>
      <c r="B3" s="36" t="n">
        <v>1</v>
      </c>
      <c r="C3" s="36" t="inlineStr">
        <is>
          <t>My-company analyze</t>
        </is>
      </c>
      <c r="D3" s="36" t="inlineStr">
        <is>
          <t>Claude web search</t>
        </is>
      </c>
      <c r="E3" s="55">
        <f>Assumptions!$B$9</f>
        <v/>
      </c>
      <c r="F3" s="38">
        <f>ROUND(E3/Assumptions!$B$13,2)</f>
        <v/>
      </c>
      <c r="G3" s="36" t="inlineStr">
        <is>
          <t>Free</t>
        </is>
      </c>
    </row>
    <row r="4">
      <c r="A4" s="35" t="inlineStr">
        <is>
          <t>Setup (one-time)</t>
        </is>
      </c>
      <c r="B4" s="36" t="n">
        <v>2</v>
      </c>
      <c r="C4" s="36" t="inlineStr">
        <is>
          <t>My-company enrich</t>
        </is>
      </c>
      <c r="D4" s="36" t="inlineStr">
        <is>
          <t>Apollo org</t>
        </is>
      </c>
      <c r="E4" s="55">
        <f>Assumptions!$B$3</f>
        <v/>
      </c>
      <c r="F4" s="38">
        <f>ROUND(E4/Assumptions!$B$13,2)</f>
        <v/>
      </c>
      <c r="G4" s="36" t="inlineStr">
        <is>
          <t>Free</t>
        </is>
      </c>
    </row>
    <row r="5">
      <c r="A5" s="35" t="inlineStr">
        <is>
          <t>Setup (one-time)</t>
        </is>
      </c>
      <c r="B5" s="36" t="n">
        <v>3</v>
      </c>
      <c r="C5" s="36" t="inlineStr">
        <is>
          <t>My-company LinkedIn scrape</t>
        </is>
      </c>
      <c r="D5" s="36" t="inlineStr">
        <is>
          <t>Apify company</t>
        </is>
      </c>
      <c r="E5" s="55">
        <f>Assumptions!$B$4</f>
        <v/>
      </c>
      <c r="F5" s="38">
        <f>ROUND(E5/Assumptions!$B$13,2)</f>
        <v/>
      </c>
      <c r="G5" s="36" t="inlineStr">
        <is>
          <t>Free</t>
        </is>
      </c>
    </row>
    <row r="6">
      <c r="A6" s="35" t="inlineStr">
        <is>
          <t>Setup (one-time)</t>
        </is>
      </c>
      <c r="B6" s="36" t="n">
        <v>4</v>
      </c>
      <c r="C6" s="36" t="inlineStr">
        <is>
          <t>My-profile enrich</t>
        </is>
      </c>
      <c r="D6" s="36" t="inlineStr">
        <is>
          <t>Apollo + Apify</t>
        </is>
      </c>
      <c r="E6" s="55">
        <f>Assumptions!$B$3+Assumptions!$B$4</f>
        <v/>
      </c>
      <c r="F6" s="38">
        <f>ROUND(E6/Assumptions!$B$13,2)</f>
        <v/>
      </c>
      <c r="G6" s="36" t="inlineStr">
        <is>
          <t>Free</t>
        </is>
      </c>
    </row>
    <row r="7">
      <c r="A7" s="35" t="inlineStr">
        <is>
          <t>Setup (one-time)</t>
        </is>
      </c>
      <c r="B7" s="36" t="n">
        <v>5</v>
      </c>
      <c r="C7" s="36" t="inlineStr">
        <is>
          <t>ICP example enrich (per co.)</t>
        </is>
      </c>
      <c r="D7" s="36" t="inlineStr">
        <is>
          <t>Claude + Apollo + Apify</t>
        </is>
      </c>
      <c r="E7" s="55">
        <f>Assumptions!$B$9+Assumptions!$B$3+Assumptions!$B$4</f>
        <v/>
      </c>
      <c r="F7" s="38">
        <f>ROUND(E7/Assumptions!$B$13,2)</f>
        <v/>
      </c>
      <c r="G7" s="36" t="inlineStr">
        <is>
          <t>Free</t>
        </is>
      </c>
    </row>
    <row r="8">
      <c r="A8" s="35" t="inlineStr">
        <is>
          <t>Setup (one-time)</t>
        </is>
      </c>
      <c r="B8" s="36" t="n">
        <v>6</v>
      </c>
      <c r="C8" s="36" t="inlineStr">
        <is>
          <t>Buying-team generation</t>
        </is>
      </c>
      <c r="D8" s="36" t="inlineStr">
        <is>
          <t>Claude LLM</t>
        </is>
      </c>
      <c r="E8" s="55">
        <f>Assumptions!$B$19</f>
        <v/>
      </c>
      <c r="F8" s="38">
        <f>ROUND(E8/Assumptions!$B$13,2)</f>
        <v/>
      </c>
      <c r="G8" s="36" t="inlineStr">
        <is>
          <t>Free</t>
        </is>
      </c>
    </row>
    <row r="9">
      <c r="A9" s="35" t="inlineStr">
        <is>
          <t>Import &amp; enrich</t>
        </is>
      </c>
      <c r="B9" s="36" t="n">
        <v>7</v>
      </c>
      <c r="C9" s="36" t="inlineStr">
        <is>
          <t>CRM pull</t>
        </is>
      </c>
      <c r="D9" s="36" t="inlineStr">
        <is>
          <t>HubSpot / Nango</t>
        </is>
      </c>
      <c r="E9" s="55">
        <f>0</f>
        <v/>
      </c>
      <c r="F9" s="38">
        <f>ROUND(E9/Assumptions!$B$13,2)</f>
        <v/>
      </c>
      <c r="G9" s="36" t="inlineStr">
        <is>
          <t>Free</t>
        </is>
      </c>
    </row>
    <row r="10">
      <c r="A10" s="35" t="inlineStr">
        <is>
          <t>Import &amp; enrich</t>
        </is>
      </c>
      <c r="B10" s="36" t="n">
        <v>8</v>
      </c>
      <c r="C10" s="36" t="inlineStr">
        <is>
          <t>CSV ingest</t>
        </is>
      </c>
      <c r="D10" s="36" t="inlineStr">
        <is>
          <t>—</t>
        </is>
      </c>
      <c r="E10" s="55">
        <f>0</f>
        <v/>
      </c>
      <c r="F10" s="38">
        <f>ROUND(E10/Assumptions!$B$13,2)</f>
        <v/>
      </c>
      <c r="G10" s="36" t="inlineStr">
        <is>
          <t>Free</t>
        </is>
      </c>
    </row>
    <row r="11">
      <c r="A11" s="35" t="inlineStr">
        <is>
          <t>Import &amp; enrich</t>
        </is>
      </c>
      <c r="B11" s="36" t="n">
        <v>9</v>
      </c>
      <c r="C11" s="36" t="inlineStr">
        <is>
          <t>Triage — company</t>
        </is>
      </c>
      <c r="D11" s="36" t="inlineStr">
        <is>
          <t>Haiku</t>
        </is>
      </c>
      <c r="E11" s="55">
        <f>Assumptions!$B$8</f>
        <v/>
      </c>
      <c r="F11" s="38">
        <f>ROUND(E11/Assumptions!$B$13,2)</f>
        <v/>
      </c>
      <c r="G11" s="36" t="inlineStr">
        <is>
          <t>Charge</t>
        </is>
      </c>
    </row>
    <row r="12">
      <c r="A12" s="35" t="inlineStr">
        <is>
          <t>Import &amp; enrich</t>
        </is>
      </c>
      <c r="B12" s="36" t="n">
        <v>10</v>
      </c>
      <c r="C12" s="36" t="inlineStr">
        <is>
          <t>Triage — contact</t>
        </is>
      </c>
      <c r="D12" s="36" t="inlineStr">
        <is>
          <t>Haiku</t>
        </is>
      </c>
      <c r="E12" s="55">
        <f>Assumptions!$B$8</f>
        <v/>
      </c>
      <c r="F12" s="38">
        <f>ROUND(E12/Assumptions!$B$13,2)</f>
        <v/>
      </c>
      <c r="G12" s="36" t="inlineStr">
        <is>
          <t>Charge</t>
        </is>
      </c>
    </row>
    <row r="13">
      <c r="A13" s="35" t="inlineStr">
        <is>
          <t>Import &amp; enrich</t>
        </is>
      </c>
      <c r="B13" s="36" t="n">
        <v>11</v>
      </c>
      <c r="C13" s="36" t="inlineStr">
        <is>
          <t>Contact enrich</t>
        </is>
      </c>
      <c r="D13" s="36" t="inlineStr">
        <is>
          <t>Apollo person</t>
        </is>
      </c>
      <c r="E13" s="55">
        <f>Assumptions!$B$3</f>
        <v/>
      </c>
      <c r="F13" s="38">
        <f>ROUND(E13/Assumptions!$B$13,2)</f>
        <v/>
      </c>
      <c r="G13" s="36" t="inlineStr">
        <is>
          <t>Charge (in Lead enrich)</t>
        </is>
      </c>
    </row>
    <row r="14">
      <c r="A14" s="35" t="inlineStr">
        <is>
          <t>Import &amp; enrich</t>
        </is>
      </c>
      <c r="B14" s="36" t="n">
        <v>12</v>
      </c>
      <c r="C14" s="36" t="inlineStr">
        <is>
          <t>Email-reveal follow-up</t>
        </is>
      </c>
      <c r="D14" s="36" t="inlineStr">
        <is>
          <t>Apollo 2nd match</t>
        </is>
      </c>
      <c r="E14" s="55">
        <f>Assumptions!$B$3</f>
        <v/>
      </c>
      <c r="F14" s="38">
        <f>ROUND(E14/Assumptions!$B$13,2)</f>
        <v/>
      </c>
      <c r="G14" s="36" t="inlineStr">
        <is>
          <t>Decide (conditional)</t>
        </is>
      </c>
    </row>
    <row r="15">
      <c r="A15" s="35" t="inlineStr">
        <is>
          <t>Import &amp; enrich</t>
        </is>
      </c>
      <c r="B15" s="36" t="n">
        <v>13</v>
      </c>
      <c r="C15" s="36" t="inlineStr">
        <is>
          <t>LinkedIn URL resolve</t>
        </is>
      </c>
      <c r="D15" s="36" t="inlineStr">
        <is>
          <t>Claude / OpenRouter</t>
        </is>
      </c>
      <c r="E15" s="55">
        <f>Assumptions!$B$9</f>
        <v/>
      </c>
      <c r="F15" s="38">
        <f>ROUND(E15/Assumptions!$B$13,2)</f>
        <v/>
      </c>
      <c r="G15" s="36" t="inlineStr">
        <is>
          <t>Decide (conditional)</t>
        </is>
      </c>
    </row>
    <row r="16">
      <c r="A16" s="35" t="inlineStr">
        <is>
          <t>Import &amp; enrich</t>
        </is>
      </c>
      <c r="B16" s="36" t="n">
        <v>14</v>
      </c>
      <c r="C16" s="36" t="inlineStr">
        <is>
          <t>Profile scrape</t>
        </is>
      </c>
      <c r="D16" s="36" t="inlineStr">
        <is>
          <t>Apify profile</t>
        </is>
      </c>
      <c r="E16" s="55">
        <f>Assumptions!$B$4</f>
        <v/>
      </c>
      <c r="F16" s="38">
        <f>ROUND(E16/Assumptions!$B$13,2)</f>
        <v/>
      </c>
      <c r="G16" s="36" t="inlineStr">
        <is>
          <t>Charge (in Lead enrich)</t>
        </is>
      </c>
    </row>
    <row r="17">
      <c r="A17" s="35" t="inlineStr">
        <is>
          <t>Import &amp; enrich</t>
        </is>
      </c>
      <c r="B17" s="36" t="n">
        <v>15</v>
      </c>
      <c r="C17" s="36" t="inlineStr">
        <is>
          <t>Company enrich</t>
        </is>
      </c>
      <c r="D17" s="36" t="inlineStr">
        <is>
          <t>Apollo org</t>
        </is>
      </c>
      <c r="E17" s="55">
        <f>Assumptions!$B$3</f>
        <v/>
      </c>
      <c r="F17" s="38">
        <f>ROUND(E17/Assumptions!$B$13,2)</f>
        <v/>
      </c>
      <c r="G17" s="36" t="inlineStr">
        <is>
          <t>Charge (in Lead enrich)</t>
        </is>
      </c>
    </row>
    <row r="18">
      <c r="A18" s="35" t="inlineStr">
        <is>
          <t>Import &amp; enrich</t>
        </is>
      </c>
      <c r="B18" s="36" t="n">
        <v>16</v>
      </c>
      <c r="C18" s="36" t="inlineStr">
        <is>
          <t>Company scrape</t>
        </is>
      </c>
      <c r="D18" s="36" t="inlineStr">
        <is>
          <t>Apify company</t>
        </is>
      </c>
      <c r="E18" s="55">
        <f>Assumptions!$B$4</f>
        <v/>
      </c>
      <c r="F18" s="38">
        <f>ROUND(E18/Assumptions!$B$13,2)</f>
        <v/>
      </c>
      <c r="G18" s="36" t="inlineStr">
        <is>
          <t>Charge (in Lead enrich)</t>
        </is>
      </c>
    </row>
    <row r="19">
      <c r="A19" s="35" t="inlineStr">
        <is>
          <t>Import &amp; enrich</t>
        </is>
      </c>
      <c r="B19" s="36" t="n">
        <v>17</v>
      </c>
      <c r="C19" s="36" t="inlineStr">
        <is>
          <t>Company narrative + taxonomy</t>
        </is>
      </c>
      <c r="D19" s="36" t="inlineStr">
        <is>
          <t>Claude web search</t>
        </is>
      </c>
      <c r="E19" s="55">
        <f>Assumptions!$B$9</f>
        <v/>
      </c>
      <c r="F19" s="38">
        <f>ROUND(E19/Assumptions!$B$13,2)</f>
        <v/>
      </c>
      <c r="G19" s="36" t="inlineStr">
        <is>
          <t>Decide</t>
        </is>
      </c>
    </row>
    <row r="20">
      <c r="A20" s="35" t="inlineStr">
        <is>
          <t>Import &amp; enrich</t>
        </is>
      </c>
      <c r="B20" s="36" t="n">
        <v>18</v>
      </c>
      <c r="C20" s="36" t="inlineStr">
        <is>
          <t>Email validate</t>
        </is>
      </c>
      <c r="D20" s="36" t="inlineStr">
        <is>
          <t>ZeroBounce</t>
        </is>
      </c>
      <c r="E20" s="55">
        <f>Assumptions!$B$6</f>
        <v/>
      </c>
      <c r="F20" s="38">
        <f>ROUND(E20/Assumptions!$B$13,2)</f>
        <v/>
      </c>
      <c r="G20" s="36" t="inlineStr">
        <is>
          <t>Charge (if not Apollo-valid)</t>
        </is>
      </c>
    </row>
    <row r="21">
      <c r="A21" s="35" t="inlineStr">
        <is>
          <t>Import &amp; enrich</t>
        </is>
      </c>
      <c r="B21" s="36" t="n">
        <v>19</v>
      </c>
      <c r="C21" s="36" t="inlineStr">
        <is>
          <t>Readiness / fit recompute</t>
        </is>
      </c>
      <c r="D21" s="36" t="inlineStr">
        <is>
          <t>internal</t>
        </is>
      </c>
      <c r="E21" s="55">
        <f>0</f>
        <v/>
      </c>
      <c r="F21" s="38">
        <f>ROUND(E21/Assumptions!$B$13,2)</f>
        <v/>
      </c>
      <c r="G21" s="36" t="inlineStr">
        <is>
          <t>Free</t>
        </is>
      </c>
    </row>
    <row r="22">
      <c r="A22" s="35" t="inlineStr">
        <is>
          <t>Phone &amp; email</t>
        </is>
      </c>
      <c r="B22" s="36" t="n">
        <v>20</v>
      </c>
      <c r="C22" s="36" t="inlineStr">
        <is>
          <t>Phone reveal</t>
        </is>
      </c>
      <c r="D22" s="36" t="inlineStr">
        <is>
          <t>Apollo mobile (8 cr)</t>
        </is>
      </c>
      <c r="E22" s="55">
        <f>Assumptions!$B$3*Assumptions!$B$16</f>
        <v/>
      </c>
      <c r="F22" s="38">
        <f>ROUND(E22/Assumptions!$B$13,2)</f>
        <v/>
      </c>
      <c r="G22" s="36" t="inlineStr">
        <is>
          <t>Charge</t>
        </is>
      </c>
    </row>
    <row r="23">
      <c r="A23" s="35" t="inlineStr">
        <is>
          <t>Phone &amp; email</t>
        </is>
      </c>
      <c r="B23" s="36" t="n">
        <v>21</v>
      </c>
      <c r="C23" s="36" t="inlineStr">
        <is>
          <t>Email finder</t>
        </is>
      </c>
      <c r="D23" s="36" t="inlineStr">
        <is>
          <t>ZeroBounce finder (20 cr)</t>
        </is>
      </c>
      <c r="E23" s="55">
        <f>Assumptions!$B$7</f>
        <v/>
      </c>
      <c r="F23" s="38">
        <f>ROUND(E23/Assumptions!$B$13,2)</f>
        <v/>
      </c>
      <c r="G23" s="36" t="inlineStr">
        <is>
          <t>Charge</t>
        </is>
      </c>
    </row>
    <row r="24">
      <c r="A24" s="35" t="inlineStr">
        <is>
          <t>Net-new discovery (/data)</t>
        </is>
      </c>
      <c r="B24" s="36" t="n">
        <v>22</v>
      </c>
      <c r="C24" s="36" t="inlineStr">
        <is>
          <t>Company search</t>
        </is>
      </c>
      <c r="D24" s="36" t="inlineStr">
        <is>
          <t>Apollo search</t>
        </is>
      </c>
      <c r="E24" s="55">
        <f>Assumptions!$B$17</f>
        <v/>
      </c>
      <c r="F24" s="38">
        <f>ROUND(E24/Assumptions!$B$13,2)</f>
        <v/>
      </c>
      <c r="G24" s="36" t="inlineStr">
        <is>
          <t>in net-new bundle</t>
        </is>
      </c>
    </row>
    <row r="25">
      <c r="A25" s="35" t="inlineStr">
        <is>
          <t>Net-new discovery (/data)</t>
        </is>
      </c>
      <c r="B25" s="36" t="n">
        <v>23</v>
      </c>
      <c r="C25" s="36" t="inlineStr">
        <is>
          <t>People search</t>
        </is>
      </c>
      <c r="D25" s="36" t="inlineStr">
        <is>
          <t>Apollo search</t>
        </is>
      </c>
      <c r="E25" s="55">
        <f>Assumptions!$B$18</f>
        <v/>
      </c>
      <c r="F25" s="38">
        <f>ROUND(E25/Assumptions!$B$13,2)</f>
        <v/>
      </c>
      <c r="G25" s="36" t="inlineStr">
        <is>
          <t>in net-new bundle</t>
        </is>
      </c>
    </row>
    <row r="26">
      <c r="A26" s="35" t="inlineStr">
        <is>
          <t>Net-new discovery (/data)</t>
        </is>
      </c>
      <c r="B26" s="36" t="n">
        <v>24</v>
      </c>
      <c r="C26" s="36" t="inlineStr">
        <is>
          <t>Candidate fit-screen</t>
        </is>
      </c>
      <c r="D26" s="36" t="inlineStr">
        <is>
          <t>Haiku</t>
        </is>
      </c>
      <c r="E26" s="55">
        <f>Assumptions!$B$8</f>
        <v/>
      </c>
      <c r="F26" s="38">
        <f>ROUND(E26/Assumptions!$B$13,2)</f>
        <v/>
      </c>
      <c r="G26" s="36" t="inlineStr">
        <is>
          <t>in net-new bundle</t>
        </is>
      </c>
    </row>
    <row r="27">
      <c r="A27" s="35" t="inlineStr">
        <is>
          <t>Net-new discovery (/data)</t>
        </is>
      </c>
      <c r="B27" s="36" t="n">
        <v>25</v>
      </c>
      <c r="C27" s="36" t="inlineStr">
        <is>
          <t>Company enrich</t>
        </is>
      </c>
      <c r="D27" s="36" t="inlineStr">
        <is>
          <t>Apollo org</t>
        </is>
      </c>
      <c r="E27" s="55">
        <f>Assumptions!$B$3</f>
        <v/>
      </c>
      <c r="F27" s="38">
        <f>ROUND(E27/Assumptions!$B$13,2)</f>
        <v/>
      </c>
      <c r="G27" s="36" t="inlineStr">
        <is>
          <t>in net-new bundle</t>
        </is>
      </c>
    </row>
    <row r="28">
      <c r="A28" s="35" t="inlineStr">
        <is>
          <t>Net-new discovery (/data)</t>
        </is>
      </c>
      <c r="B28" s="36" t="n">
        <v>26</v>
      </c>
      <c r="C28" s="36" t="inlineStr">
        <is>
          <t>Person enrich</t>
        </is>
      </c>
      <c r="D28" s="36" t="inlineStr">
        <is>
          <t>Apollo person</t>
        </is>
      </c>
      <c r="E28" s="55">
        <f>Assumptions!$B$3</f>
        <v/>
      </c>
      <c r="F28" s="38">
        <f>ROUND(E28/Assumptions!$B$13,2)</f>
        <v/>
      </c>
      <c r="G28" s="36" t="inlineStr">
        <is>
          <t>in net-new bundle</t>
        </is>
      </c>
    </row>
    <row r="29">
      <c r="A29" s="35" t="inlineStr">
        <is>
          <t>Net-new discovery (/data)</t>
        </is>
      </c>
      <c r="B29" s="36" t="n">
        <v>27</v>
      </c>
      <c r="C29" s="36" t="inlineStr">
        <is>
          <t>Profile + company scrape</t>
        </is>
      </c>
      <c r="D29" s="36" t="inlineStr">
        <is>
          <t>Apify</t>
        </is>
      </c>
      <c r="E29" s="55">
        <f>Assumptions!$B$4*2</f>
        <v/>
      </c>
      <c r="F29" s="38">
        <f>ROUND(E29/Assumptions!$B$13,2)</f>
        <v/>
      </c>
      <c r="G29" s="36" t="inlineStr">
        <is>
          <t>in net-new bundle</t>
        </is>
      </c>
    </row>
    <row r="30">
      <c r="A30" s="35" t="inlineStr">
        <is>
          <t>Net-new discovery (/data)</t>
        </is>
      </c>
      <c r="B30" s="36" t="n">
        <v>28</v>
      </c>
      <c r="C30" s="36" t="inlineStr">
        <is>
          <t>Email validate</t>
        </is>
      </c>
      <c r="D30" s="36" t="inlineStr">
        <is>
          <t>ZeroBounce</t>
        </is>
      </c>
      <c r="E30" s="55">
        <f>Assumptions!$B$6</f>
        <v/>
      </c>
      <c r="F30" s="38">
        <f>ROUND(E30/Assumptions!$B$13,2)</f>
        <v/>
      </c>
      <c r="G30" s="36" t="inlineStr">
        <is>
          <t>in net-new bundle</t>
        </is>
      </c>
    </row>
    <row r="31">
      <c r="A31" s="35" t="inlineStr">
        <is>
          <t>Ongoing monitoring (crons)</t>
        </is>
      </c>
      <c r="B31" s="36" t="n">
        <v>29</v>
      </c>
      <c r="C31" s="36" t="inlineStr">
        <is>
          <t>Job-change sweep</t>
        </is>
      </c>
      <c r="D31" s="36" t="inlineStr">
        <is>
          <t>Apify profile</t>
        </is>
      </c>
      <c r="E31" s="55">
        <f>Assumptions!$B$4</f>
        <v/>
      </c>
      <c r="F31" s="38">
        <f>ROUND(E31/Assumptions!$B$13,2)</f>
        <v/>
      </c>
      <c r="G31" s="36" t="inlineStr">
        <is>
          <t>Decide</t>
        </is>
      </c>
    </row>
    <row r="32">
      <c r="A32" s="35" t="inlineStr">
        <is>
          <t>Ongoing monitoring (crons)</t>
        </is>
      </c>
      <c r="B32" s="36" t="n">
        <v>30</v>
      </c>
      <c r="C32" s="36" t="inlineStr">
        <is>
          <t>Title-change detect</t>
        </is>
      </c>
      <c r="D32" s="36" t="inlineStr">
        <is>
          <t>(same sweep)</t>
        </is>
      </c>
      <c r="E32" s="55">
        <f>0</f>
        <v/>
      </c>
      <c r="F32" s="38">
        <f>ROUND(E32/Assumptions!$B$13,2)</f>
        <v/>
      </c>
      <c r="G32" s="36" t="inlineStr">
        <is>
          <t>Decide</t>
        </is>
      </c>
    </row>
    <row r="33">
      <c r="A33" s="35" t="inlineStr">
        <is>
          <t>Ongoing monitoring (crons)</t>
        </is>
      </c>
      <c r="B33" s="36" t="n">
        <v>31</v>
      </c>
      <c r="C33" s="36" t="inlineStr">
        <is>
          <t>Hiring monitor</t>
        </is>
      </c>
      <c r="D33" s="36" t="inlineStr">
        <is>
          <t>Apify jobs scraper</t>
        </is>
      </c>
      <c r="E33" s="55">
        <f>Assumptions!$B$4</f>
        <v/>
      </c>
      <c r="F33" s="38">
        <f>ROUND(E33/Assumptions!$B$13,2)</f>
        <v/>
      </c>
      <c r="G33" s="36" t="inlineStr">
        <is>
          <t>Decide</t>
        </is>
      </c>
    </row>
    <row r="34">
      <c r="A34" s="35" t="inlineStr">
        <is>
          <t>Ongoing monitoring (crons)</t>
        </is>
      </c>
      <c r="B34" s="36" t="n">
        <v>32</v>
      </c>
      <c r="C34" s="36" t="inlineStr">
        <is>
          <t>Job-change knock-on re-enrich</t>
        </is>
      </c>
      <c r="D34" s="36" t="inlineStr">
        <is>
          <t>Apollo + Apify</t>
        </is>
      </c>
      <c r="E34" s="55">
        <f>Assumptions!$B$3*2+Assumptions!$B$4*2</f>
        <v/>
      </c>
      <c r="F34" s="38">
        <f>ROUND(E34/Assumptions!$B$13,2)</f>
        <v/>
      </c>
      <c r="G34" s="36" t="inlineStr">
        <is>
          <t>Decide</t>
        </is>
      </c>
    </row>
    <row r="35">
      <c r="A35" s="35" t="inlineStr">
        <is>
          <t>Ongoing monitoring (crons)</t>
        </is>
      </c>
      <c r="B35" s="36" t="n">
        <v>33</v>
      </c>
      <c r="C35" s="36" t="inlineStr">
        <is>
          <t>Re-enrichment queue (refresh)</t>
        </is>
      </c>
      <c r="D35" s="36" t="inlineStr">
        <is>
          <t>Apollo + Apify + ZB</t>
        </is>
      </c>
      <c r="E35" s="55">
        <f>Assumptions!$B$3*2+Assumptions!$B$4*2+Assumptions!$B$6</f>
        <v/>
      </c>
      <c r="F35" s="38">
        <f>ROUND(E35/Assumptions!$B$13,2)</f>
        <v/>
      </c>
      <c r="G35" s="36" t="inlineStr">
        <is>
          <t>Decide</t>
        </is>
      </c>
    </row>
    <row r="36">
      <c r="A36" s="35" t="inlineStr">
        <is>
          <t>Ongoing monitoring (crons)</t>
        </is>
      </c>
      <c r="B36" s="36" t="n">
        <v>34</v>
      </c>
      <c r="C36" s="36" t="inlineStr">
        <is>
          <t>Funding-stage LLM confirm</t>
        </is>
      </c>
      <c r="D36" s="36" t="inlineStr">
        <is>
          <t>Claude web search</t>
        </is>
      </c>
      <c r="E36" s="55">
        <f>Assumptions!$B$9</f>
        <v/>
      </c>
      <c r="F36" s="38">
        <f>ROUND(E36/Assumptions!$B$13,2)</f>
        <v/>
      </c>
      <c r="G36" s="36" t="inlineStr">
        <is>
          <t>Decide</t>
        </is>
      </c>
    </row>
    <row r="37">
      <c r="A37" s="35" t="inlineStr">
        <is>
          <t>Ongoing monitoring (crons)</t>
        </is>
      </c>
      <c r="B37" s="36" t="n">
        <v>35</v>
      </c>
      <c r="C37" s="36" t="inlineStr">
        <is>
          <t>Press-release classify</t>
        </is>
      </c>
      <c r="D37" s="36" t="inlineStr">
        <is>
          <t>Haiku</t>
        </is>
      </c>
      <c r="E37" s="55">
        <f>Assumptions!$B$20</f>
        <v/>
      </c>
      <c r="F37" s="38">
        <f>ROUND(E37/Assumptions!$B$13,2)</f>
        <v/>
      </c>
      <c r="G37" s="36" t="inlineStr">
        <is>
          <t>Decide</t>
        </is>
      </c>
    </row>
    <row r="38">
      <c r="A38" s="35" t="inlineStr">
        <is>
          <t>Public-data signal sync</t>
        </is>
      </c>
      <c r="B38" s="36" t="n">
        <v>36</v>
      </c>
      <c r="C38" s="36" t="inlineStr">
        <is>
          <t>Patents-delta</t>
        </is>
      </c>
      <c r="D38" s="36" t="inlineStr">
        <is>
          <t>BigQuery mirror</t>
        </is>
      </c>
      <c r="E38" s="55">
        <f>0</f>
        <v/>
      </c>
      <c r="F38" s="38">
        <f>ROUND(E38/Assumptions!$B$13,2)</f>
        <v/>
      </c>
      <c r="G38" s="36" t="inlineStr">
        <is>
          <t>Free</t>
        </is>
      </c>
    </row>
    <row r="39">
      <c r="A39" s="35" t="inlineStr">
        <is>
          <t>Public-data signal sync</t>
        </is>
      </c>
      <c r="B39" s="36" t="n">
        <v>37</v>
      </c>
      <c r="C39" s="36" t="inlineStr">
        <is>
          <t>FDA-delta</t>
        </is>
      </c>
      <c r="D39" s="36" t="inlineStr">
        <is>
          <t>openFDA</t>
        </is>
      </c>
      <c r="E39" s="55">
        <f>0</f>
        <v/>
      </c>
      <c r="F39" s="38">
        <f>ROUND(E39/Assumptions!$B$13,2)</f>
        <v/>
      </c>
      <c r="G39" s="36" t="inlineStr">
        <is>
          <t>Free</t>
        </is>
      </c>
    </row>
    <row r="40">
      <c r="A40" s="35" t="inlineStr">
        <is>
          <t>Public-data signal sync</t>
        </is>
      </c>
      <c r="B40" s="36" t="n">
        <v>38</v>
      </c>
      <c r="C40" s="36" t="inlineStr">
        <is>
          <t>Clinical-trials-delta</t>
        </is>
      </c>
      <c r="D40" s="36" t="inlineStr">
        <is>
          <t>ClinicalTrials.gov</t>
        </is>
      </c>
      <c r="E40" s="55">
        <f>0</f>
        <v/>
      </c>
      <c r="F40" s="38">
        <f>ROUND(E40/Assumptions!$B$13,2)</f>
        <v/>
      </c>
      <c r="G40" s="36" t="inlineStr">
        <is>
          <t>Free</t>
        </is>
      </c>
    </row>
    <row r="41">
      <c r="A41" s="35" t="inlineStr">
        <is>
          <t>Public-data signal sync</t>
        </is>
      </c>
      <c r="B41" s="36" t="n">
        <v>39</v>
      </c>
      <c r="C41" s="36" t="inlineStr">
        <is>
          <t>Funding-delta</t>
        </is>
      </c>
      <c r="D41" s="36" t="inlineStr">
        <is>
          <t>SEC EDGAR</t>
        </is>
      </c>
      <c r="E41" s="55">
        <f>0</f>
        <v/>
      </c>
      <c r="F41" s="38">
        <f>ROUND(E41/Assumptions!$B$13,2)</f>
        <v/>
      </c>
      <c r="G41" s="36" t="inlineStr">
        <is>
          <t>Free</t>
        </is>
      </c>
    </row>
    <row r="42">
      <c r="A42" s="35" t="inlineStr">
        <is>
          <t>Public-data signal sync</t>
        </is>
      </c>
      <c r="B42" s="36" t="n">
        <v>40</v>
      </c>
      <c r="C42" s="36" t="inlineStr">
        <is>
          <t>Grants-delta</t>
        </is>
      </c>
      <c r="D42" s="36" t="inlineStr">
        <is>
          <t>NIH Reporter</t>
        </is>
      </c>
      <c r="E42" s="55">
        <f>0</f>
        <v/>
      </c>
      <c r="F42" s="38">
        <f>ROUND(E42/Assumptions!$B$13,2)</f>
        <v/>
      </c>
      <c r="G42" s="36" t="inlineStr">
        <is>
          <t>Free</t>
        </is>
      </c>
    </row>
    <row r="43">
      <c r="A43" s="35" t="inlineStr">
        <is>
          <t>Public-data signal sync</t>
        </is>
      </c>
      <c r="B43" s="36" t="n">
        <v>41</v>
      </c>
      <c r="C43" s="36" t="inlineStr">
        <is>
          <t>Press-releases-delta</t>
        </is>
      </c>
      <c r="D43" s="36" t="inlineStr">
        <is>
          <t>RSS feeds</t>
        </is>
      </c>
      <c r="E43" s="55">
        <f>0</f>
        <v/>
      </c>
      <c r="F43" s="38">
        <f>ROUND(E43/Assumptions!$B$13,2)</f>
        <v/>
      </c>
      <c r="G43" s="36" t="inlineStr">
        <is>
          <t>Free</t>
        </is>
      </c>
    </row>
    <row r="44">
      <c r="A44" s="35" t="inlineStr">
        <is>
          <t>Public-data signal sync</t>
        </is>
      </c>
      <c r="B44" s="36" t="n">
        <v>42</v>
      </c>
      <c r="C44" s="36" t="inlineStr">
        <is>
          <t>Conferences-delta</t>
        </is>
      </c>
      <c r="D44" s="36" t="inlineStr">
        <is>
          <t>public</t>
        </is>
      </c>
      <c r="E44" s="55">
        <f>0</f>
        <v/>
      </c>
      <c r="F44" s="38">
        <f>ROUND(E44/Assumptions!$B$13,2)</f>
        <v/>
      </c>
      <c r="G44" s="36" t="inlineStr">
        <is>
          <t>Free</t>
        </is>
      </c>
    </row>
    <row r="45">
      <c r="A45" s="35" t="inlineStr">
        <is>
          <t>CRM / outreach sync &amp; agent (LLM)</t>
        </is>
      </c>
      <c r="B45" s="36" t="n">
        <v>43</v>
      </c>
      <c r="C45" s="36" t="inlineStr">
        <is>
          <t>HubSpot daily push+pull</t>
        </is>
      </c>
      <c r="D45" s="36" t="inlineStr">
        <is>
          <t>Nango</t>
        </is>
      </c>
      <c r="E45" s="55">
        <f>0</f>
        <v/>
      </c>
      <c r="F45" s="38">
        <f>ROUND(E45/Assumptions!$B$13,2)</f>
        <v/>
      </c>
      <c r="G45" s="36" t="inlineStr">
        <is>
          <t>Free</t>
        </is>
      </c>
    </row>
    <row r="46">
      <c r="A46" s="35" t="inlineStr">
        <is>
          <t>CRM / outreach sync &amp; agent (LLM)</t>
        </is>
      </c>
      <c r="B46" s="36" t="n">
        <v>44</v>
      </c>
      <c r="C46" s="36" t="inlineStr">
        <is>
          <t>Lemlist sync</t>
        </is>
      </c>
      <c r="D46" s="36" t="inlineStr">
        <is>
          <t>Lemlist API</t>
        </is>
      </c>
      <c r="E46" s="55">
        <f>0</f>
        <v/>
      </c>
      <c r="F46" s="38">
        <f>ROUND(E46/Assumptions!$B$13,2)</f>
        <v/>
      </c>
      <c r="G46" s="36" t="inlineStr">
        <is>
          <t>Free</t>
        </is>
      </c>
    </row>
    <row r="47">
      <c r="A47" s="35" t="inlineStr">
        <is>
          <t>CRM / outreach sync &amp; agent (LLM)</t>
        </is>
      </c>
      <c r="B47" s="36" t="n">
        <v>45</v>
      </c>
      <c r="C47" s="36" t="inlineStr">
        <is>
          <t>Side-panel agent turn</t>
        </is>
      </c>
      <c r="D47" s="36" t="inlineStr">
        <is>
          <t>Haiku-led</t>
        </is>
      </c>
      <c r="E47" s="55">
        <f>Assumptions!$B$21</f>
        <v/>
      </c>
      <c r="F47" s="38">
        <f>ROUND(E47/Assumptions!$B$13,2)</f>
        <v/>
      </c>
      <c r="G47" s="36" t="inlineStr">
        <is>
          <t>Decide (fair-use)</t>
        </is>
      </c>
    </row>
    <row r="48">
      <c r="A48" s="35" t="inlineStr">
        <is>
          <t>CRM / outreach sync &amp; agent (LLM)</t>
        </is>
      </c>
      <c r="B48" s="36" t="n">
        <v>46</v>
      </c>
      <c r="C48" s="36" t="inlineStr">
        <is>
          <t>Central agent turn</t>
        </is>
      </c>
      <c r="D48" s="36" t="inlineStr">
        <is>
          <t>Haiku / Sonnet</t>
        </is>
      </c>
      <c r="E48" s="55">
        <f>Assumptions!$B$22</f>
        <v/>
      </c>
      <c r="F48" s="38">
        <f>ROUND(E48/Assumptions!$B$13,2)</f>
        <v/>
      </c>
      <c r="G48" s="36" t="inlineStr">
        <is>
          <t>Decide (fair-use)</t>
        </is>
      </c>
    </row>
    <row r="49">
      <c r="A49" s="35" t="inlineStr">
        <is>
          <t>CRM / outreach sync &amp; agent (LLM)</t>
        </is>
      </c>
      <c r="B49" s="36" t="n">
        <v>47</v>
      </c>
      <c r="C49" s="36" t="inlineStr">
        <is>
          <t>Outreach sequence generation</t>
        </is>
      </c>
      <c r="D49" s="36" t="inlineStr">
        <is>
          <t>Sonnet + web search</t>
        </is>
      </c>
      <c r="E49" s="55">
        <f>Assumptions!$B$10</f>
        <v/>
      </c>
      <c r="F49" s="38">
        <f>ROUND(E49/Assumptions!$B$13,2)</f>
        <v/>
      </c>
      <c r="G49" s="36" t="inlineStr">
        <is>
          <t>Decide</t>
        </is>
      </c>
    </row>
    <row r="50">
      <c r="A50" s="17" t="inlineStr">
        <is>
          <t>Net-new discovery (/data)</t>
        </is>
      </c>
      <c r="B50" s="17" t="inlineStr">
        <is>
          <t>=</t>
        </is>
      </c>
      <c r="C50" s="17" t="inlineStr">
        <is>
          <t>NET-NEW LEAD (bundle)</t>
        </is>
      </c>
      <c r="D50" s="17" t="inlineStr">
        <is>
          <t>search+enrich+validate</t>
        </is>
      </c>
      <c r="E50" s="56">
        <f>Bundles!$B$23</f>
        <v/>
      </c>
      <c r="F50" s="17" t="inlineStr">
        <is>
          <t>—</t>
        </is>
      </c>
      <c r="G50" s="17" t="inlineStr">
        <is>
          <t>Charge — premium ($1.00 / lead)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2026-06-17T23:41:20Z</dcterms:created>
  <dcterms:modified xsi:type="dcterms:W3CDTF">2026-06-17T23:42:54Z</dcterms:modified>
</cp:coreProperties>
</file>