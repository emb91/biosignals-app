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6caa46152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6f870b99113d405a"/>
    <x:sheet xmlns:r="http://schemas.openxmlformats.org/officeDocument/2006/relationships" name="Assumptions" sheetId="2" r:id="Rb4d079ea09dd43a4"/>
    <x:sheet xmlns:r="http://schemas.openxmlformats.org/officeDocument/2006/relationships" name="Bundles" sheetId="3" r:id="Rad7049b733a94a4e"/>
    <x:sheet xmlns:r="http://schemas.openxmlformats.org/officeDocument/2006/relationships" name="Driver Ledger" sheetId="4" r:id="R55b5bf372808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%"/>
    <x:numFmt numFmtId="165" formatCode="$#,##0;($#,##0)"/>
    <x:numFmt numFmtId="166" formatCode="$#,##0.0000;($#,##0.0000)"/>
    <x:numFmt numFmtId="167" formatCode="$#,##0.00;($#,##0.00)"/>
    <x:numFmt numFmtId="168" formatCode="$#,##0.0000"/>
    <x:numFmt numFmtId="169" formatCode="$#,##0.00"/>
    <x:numFmt numFmtId="170" formatCode="#,##0.0"/>
  </x:numFmts>
  <x:fonts count="9">
    <x:font>
      <x:sz val="11"/>
      <x:color theme="1"/>
      <x:name val="Calibri"/>
    </x:font>
    <x:font>
      <x:b/>
      <x:sz val="14"/>
      <x:name val="Arial"/>
    </x:font>
    <x:font>
      <x:b/>
      <x:color rgb="FFFFFFFF"/>
      <x:name val="Arial"/>
    </x:font>
    <x:font>
      <x:color rgb="FF000000"/>
      <x:name val="Arial"/>
    </x:font>
    <x:font>
      <x:color rgb="FF0000FF"/>
      <x:name val="Arial"/>
    </x:font>
    <x:font>
      <x:i/>
      <x:color rgb="FF808080"/>
      <x:name val="Arial"/>
    </x:font>
    <x:font>
      <x:b/>
      <x:sz val="11"/>
      <x:name val="Arial"/>
    </x:font>
    <x:font>
      <x:b/>
      <x:name val="Arial"/>
    </x:font>
    <x:font>
      <x:i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F00"/>
      </x:patternFill>
    </x:fill>
    <x:fill>
      <x:patternFill patternType="solid">
        <x:fgColor rgb="FFD9E1F2"/>
      </x:patternFill>
    </x:fill>
    <x:fill>
      <x:patternFill patternType="solid">
        <x:fgColor rgb="FFE2EFDA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/>
    <x:xf numFmtId="0" fontId="5" fillId="0" borderId="0" xfId="0"/>
    <x:xf numFmtId="0" fontId="6" fillId="4" borderId="0" xfId="0"/>
    <x:xf numFmtId="0" fontId="0" fillId="4" borderId="0" xfId="0"/>
    <x:xf numFmtId="0" fontId="3" fillId="0" borderId="0" xfId="0"/>
    <x:xf numFmtId="3" fontId="4" fillId="3" borderId="0" xfId="0"/>
    <x:xf numFmtId="164" fontId="4" fillId="3" borderId="0" xfId="0"/>
    <x:xf numFmtId="0" fontId="6" fillId="0" borderId="0" xfId="0"/>
    <x:xf numFmtId="0" fontId="2" fillId="2" borderId="1" xfId="0"/>
    <x:xf numFmtId="0" fontId="0" fillId="0" borderId="1" xfId="0"/>
    <x:xf numFmtId="3" fontId="0" fillId="0" borderId="1" xfId="0"/>
    <x:xf numFmtId="4" fontId="0" fillId="0" borderId="1" xfId="0"/>
    <x:xf numFmtId="165" fontId="0" fillId="0" borderId="1" xfId="0"/>
    <x:xf numFmtId="164" fontId="0" fillId="0" borderId="1" xfId="0"/>
    <x:xf numFmtId="0" fontId="0" fillId="0" borderId="1" xfId="0" applyAlignment="1">
      <x:alignment horizontal="right"/>
    </x:xf>
    <x:xf numFmtId="0" fontId="8" fillId="0" borderId="1" xfId="0"/>
    <x:xf numFmtId="0" fontId="7" fillId="5" borderId="1" xfId="0"/>
    <x:xf numFmtId="0" fontId="0" fillId="5" borderId="1" xfId="0"/>
    <x:xf numFmtId="165" fontId="7" fillId="5" borderId="1" xfId="0"/>
    <x:xf numFmtId="164" fontId="7" fillId="5" borderId="1" xfId="0"/>
    <x:xf numFmtId="4" fontId="0" fillId="0" borderId="0" xfId="0"/>
    <x:xf numFmtId="3" fontId="0" fillId="0" borderId="0" xfId="0"/>
    <x:xf numFmtId="165" fontId="0" fillId="0" borderId="0" xfId="0"/>
    <x:xf numFmtId="0" fontId="7" fillId="0" borderId="0" xfId="0"/>
    <x:xf numFmtId="165" fontId="7" fillId="0" borderId="0" xfId="0"/>
    <x:xf numFmtId="164" fontId="7" fillId="0" borderId="0" xfId="0"/>
    <x:xf numFmtId="0" fontId="2" fillId="2" borderId="0" xfId="0"/>
    <x:xf numFmtId="166" fontId="4" fillId="3" borderId="0" xfId="0"/>
    <x:xf numFmtId="166" fontId="0" fillId="0" borderId="0" xfId="0"/>
    <x:xf numFmtId="0" fontId="7" fillId="5" borderId="0" xfId="0"/>
    <x:xf numFmtId="166" fontId="7" fillId="5" borderId="0" xfId="0"/>
    <x:xf numFmtId="4" fontId="7" fillId="5" borderId="0" xfId="0"/>
    <x:xf numFmtId="164" fontId="0" fillId="0" borderId="0" xfId="0"/>
    <x:xf numFmtId="167" fontId="0" fillId="0" borderId="0" xfId="0"/>
    <x:xf numFmtId="0" fontId="3" fillId="4" borderId="1" xfId="0"/>
    <x:xf numFmtId="0" fontId="3" fillId="0" borderId="1" xfId="0"/>
    <x:xf numFmtId="166" fontId="3" fillId="0" borderId="1" xfId="0"/>
    <x:xf numFmtId="4" fontId="3" fillId="0" borderId="1" xfId="0"/>
    <x:xf numFmtId="166" fontId="7" fillId="5" borderId="1" xfId="0"/>
    <x:xf numFmtId="164" fontId="4" fillId="3" borderId="0" xfId="0"/>
    <x:xf numFmtId="165" fontId="0" fillId="0" borderId="1" xfId="0"/>
    <x:xf numFmtId="164" fontId="0" fillId="0" borderId="1" xfId="0"/>
    <x:xf numFmtId="165" fontId="7" fillId="5" borderId="1" xfId="0"/>
    <x:xf numFmtId="164" fontId="7" fillId="5" borderId="1" xfId="0"/>
    <x:xf numFmtId="165" fontId="0" fillId="0" borderId="0" xfId="0"/>
    <x:xf numFmtId="165" fontId="7" fillId="0" borderId="0" xfId="0"/>
    <x:xf numFmtId="164" fontId="7" fillId="0" borderId="0" xfId="0"/>
    <x:xf numFmtId="168" fontId="4" fillId="3" borderId="0" xfId="0"/>
    <x:xf numFmtId="169" fontId="4" fillId="3" borderId="0" xfId="0"/>
    <x:xf numFmtId="170" fontId="4" fillId="3" borderId="0" xfId="0"/>
    <x:xf numFmtId="166" fontId="0" fillId="0" borderId="0" xfId="0"/>
    <x:xf numFmtId="166" fontId="7" fillId="5" borderId="0" xfId="0"/>
    <x:xf numFmtId="164" fontId="0" fillId="0" borderId="0" xfId="0"/>
    <x:xf numFmtId="167" fontId="0" fillId="0" borderId="0" xfId="0"/>
    <x:xf numFmtId="166" fontId="3" fillId="0" borderId="1" xfId="0"/>
    <x:xf numFmtId="166" fontId="7" fillId="5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ac0d526e4be7" /><Relationship Type="http://schemas.openxmlformats.org/officeDocument/2006/relationships/theme" Target="/xl/theme/theme1.xml" Id="R0e3727ab77924f4f" /><Relationship Type="http://schemas.openxmlformats.org/officeDocument/2006/relationships/sharedStrings" Target="/xl/sharedStrings.xml" Id="Rc3966646e5014ab1" /><Relationship Type="http://schemas.openxmlformats.org/officeDocument/2006/relationships/worksheet" Target="/xl/worksheets/sheet1.xml" Id="R6f870b99113d405a" /><Relationship Type="http://schemas.openxmlformats.org/officeDocument/2006/relationships/worksheet" Target="/xl/worksheets/sheet2.xml" Id="Rb4d079ea09dd43a4" /><Relationship Type="http://schemas.openxmlformats.org/officeDocument/2006/relationships/worksheet" Target="/xl/worksheets/sheet3.xml" Id="Rad7049b733a94a4e" /><Relationship Type="http://schemas.openxmlformats.org/officeDocument/2006/relationships/worksheet" Target="/xl/worksheets/sheet4.xml" Id="R55b5bf372808460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>
      <x:c r="A1" s="1" t="inlineStr">
        <x:is>
          <x:t xml:space="preserve">ARCOVA CREDIT &amp; MARGIN CALCULATOR</x:t>
        </x:is>
      </x:c>
    </x:row>
    <x:row r="2">
      <x:c r="A2" s="2" t="str">
        <x:v>Set the two pickers (yellow). Everything below recomputes. Starter = flat, $149/mo, 2,000 credits, 3 active ICPs + 50 net-new.</x:v>
      </x:c>
    </x:row>
    <x:row r="4">
      <x:c r="A4" s="3" t="inlineStr">
        <x:is>
          <x:t xml:space="preserve">INPUTS</x:t>
        </x:is>
      </x:c>
      <x:c r="B4" s="4" t="n"/>
      <x:c r="C4" s="4" t="n"/>
    </x:row>
    <x:row r="5">
      <x:c r="A5" s="5" t="inlineStr">
        <x:is>
          <x:t xml:space="preserve">Imported contacts (enrich your own data)</x:t>
        </x:is>
      </x:c>
      <x:c r="C5" s="6" t="n">
        <x:v>5000</x:v>
      </x:c>
    </x:row>
    <x:row r="6">
      <x:c r="A6" s="5" t="inlineStr">
        <x:is>
          <x:t xml:space="preserve">Net-new leads purchased (/data discovery)</x:t>
        </x:is>
      </x:c>
      <x:c r="C6" s="6" t="n">
        <x:v>1000</x:v>
      </x:c>
    </x:row>
    <x:row r="7">
      <x:c r="A7" s="5" t="inlineStr">
        <x:is>
          <x:t xml:space="preserve">% good-fit (drives monitoring volume)</x:t>
        </x:is>
      </x:c>
      <x:c r="C7" s="40" t="n">
        <x:v>0.4</x:v>
      </x:c>
    </x:row>
    <x:row r="8">
      <x:c r="A8" s="5" t="inlineStr">
        <x:is>
          <x:t xml:space="preserve">Monitoring sweeps / month (1=Starter monthly)</x:t>
        </x:is>
      </x:c>
      <x:c r="C8" s="6" t="n">
        <x:v>1</x:v>
      </x:c>
    </x:row>
    <x:row r="9">
      <x:c r="A9" s="5" t="inlineStr">
        <x:is>
          <x:t xml:space="preserve">Phone-reveal rate (% of contacts)</x:t>
        </x:is>
      </x:c>
      <x:c r="C9" s="40" t="n">
        <x:v>0.05</x:v>
      </x:c>
    </x:row>
    <x:row r="10">
      <x:c r="A10" s="5" t="inlineStr">
        <x:is>
          <x:t xml:space="preserve">Months horizon</x:t>
        </x:is>
      </x:c>
      <x:c r="C10" s="6" t="n">
        <x:v>1</x:v>
      </x:c>
    </x:row>
    <x:row r="12">
      <x:c r="A12" s="8" t="inlineStr">
        <x:is>
          <x:t xml:space="preserve">SCENARIO ROLL-UP</x:t>
        </x:is>
      </x:c>
    </x:row>
    <x:row r="13">
      <x:c r="A13" s="9" t="inlineStr">
        <x:is>
          <x:t xml:space="preserve">Stream</x:t>
        </x:is>
      </x:c>
      <x:c r="B13" s="9" t="inlineStr">
        <x:is>
          <x:t xml:space="preserve">Volume</x:t>
        </x:is>
      </x:c>
      <x:c r="C13" s="9" t="inlineStr">
        <x:is>
          <x:t xml:space="preserve">Credits</x:t>
        </x:is>
      </x:c>
      <x:c r="D13" s="9" t="inlineStr">
        <x:is>
          <x:t xml:space="preserve">Cost $</x:t>
        </x:is>
      </x:c>
      <x:c r="E13" s="9" t="inlineStr">
        <x:is>
          <x:t xml:space="preserve">Revenue $</x:t>
        </x:is>
      </x:c>
      <x:c r="F13" s="9" t="inlineStr">
        <x:is>
          <x:t xml:space="preserve">Profit $</x:t>
        </x:is>
      </x:c>
      <x:c r="G13" s="9" t="inlineStr">
        <x:is>
          <x:t xml:space="preserve">Margin %</x:t>
        </x:is>
      </x:c>
    </x:row>
    <x:row r="14">
      <x:c r="A14" s="10" t="inlineStr">
        <x:is>
          <x:t xml:space="preserve">Import enrichment</x:t>
        </x:is>
      </x:c>
      <x:c r="B14" s="11" t="n">
        <x:f>C5</x:f>
        <x:v>5000</x:v>
      </x:c>
      <x:c r="C14" s="12" t="n">
        <x:f>C5*Bundles!$C$8</x:f>
        <x:v>5650.000000000001</x:v>
      </x:c>
      <x:c r="D14" s="41" t="n">
        <x:f>C5*Bundles!$B$8</x:f>
        <x:v>204.00000000000003</x:v>
      </x:c>
      <x:c r="E14" s="41" t="n">
        <x:f>C14*Assumptions!$B$11</x:f>
        <x:v>565.0000000000001</x:v>
      </x:c>
      <x:c r="F14" s="41" t="n">
        <x:f>E14-D14</x:f>
        <x:v>361.0000000000001</x:v>
      </x:c>
      <x:c r="G14" s="42" t="n">
        <x:f>IFERROR(F14/E14,0)</x:f>
        <x:v>0.6389380530973452</x:v>
      </x:c>
    </x:row>
    <x:row r="15">
      <x:c r="A15" s="10" t="inlineStr">
        <x:is>
          <x:t xml:space="preserve">Phone reveals</x:t>
        </x:is>
      </x:c>
      <x:c r="B15" s="11" t="n">
        <x:f>C5*C9</x:f>
        <x:v>250</x:v>
      </x:c>
      <x:c r="C15" s="12" t="n">
        <x:f>B15*3.5</x:f>
        <x:v>875</x:v>
      </x:c>
      <x:c r="D15" s="41" t="n">
        <x:f>B15*Assumptions!$B$3*Assumptions!$B$16</x:f>
        <x:v>40</x:v>
      </x:c>
      <x:c r="E15" s="41" t="n">
        <x:f>C15*Assumptions!$B$11</x:f>
        <x:v>87.5</x:v>
      </x:c>
      <x:c r="F15" s="41" t="n">
        <x:f>E15-D15</x:f>
        <x:v>47.5</x:v>
      </x:c>
      <x:c r="G15" s="42" t="n">
        <x:f>IFERROR(F15/E15,0)</x:f>
        <x:v>0.5428571428571428</x:v>
      </x:c>
    </x:row>
    <x:row r="16">
      <x:c r="A16" s="10" t="inlineStr">
        <x:is>
          <x:t xml:space="preserve">Net-new discovery</x:t>
        </x:is>
      </x:c>
      <x:c r="B16" s="11" t="n">
        <x:f>C6</x:f>
        <x:v>1000</x:v>
      </x:c>
      <x:c r="C16" s="15" t="inlineStr">
        <x:is>
          <x:t xml:space="preserve">—</x:t>
        </x:is>
      </x:c>
      <x:c r="D16" s="41" t="n">
        <x:f>C6*Bundles!$B$23</x:f>
        <x:v>47.6</x:v>
      </x:c>
      <x:c r="E16" s="41" t="n">
        <x:f>C6*Assumptions!$B$12</x:f>
        <x:v>1000</x:v>
      </x:c>
      <x:c r="F16" s="41" t="n">
        <x:f>E16-D16</x:f>
        <x:v>952.4</x:v>
      </x:c>
      <x:c r="G16" s="42" t="n">
        <x:f>IFERROR(F16/E16,0)</x:f>
        <x:v>0.9524</x:v>
      </x:c>
    </x:row>
    <x:row r="17">
      <x:c r="A17" s="16" t="inlineStr">
        <x:is>
          <x:t xml:space="preserve">Monitoring (if CHARGED)</x:t>
        </x:is>
      </x:c>
      <x:c r="B17" s="11" t="n">
        <x:f>(C5+C6)*C7</x:f>
        <x:v>2400</x:v>
      </x:c>
      <x:c r="C17" s="12" t="n">
        <x:f>B17*0.08*C8*C10</x:f>
        <x:v>192</x:v>
      </x:c>
      <x:c r="D17" s="41" t="n">
        <x:f>B17*Assumptions!$B$4*C8*C10</x:f>
        <x:v>9.6</x:v>
      </x:c>
      <x:c r="E17" s="41" t="n">
        <x:f>C17*Assumptions!$B$11</x:f>
        <x:v>19.200000000000003</x:v>
      </x:c>
      <x:c r="F17" s="41" t="n">
        <x:f>E17-D17</x:f>
        <x:v>9.600000000000003</x:v>
      </x:c>
      <x:c r="G17" s="42" t="n">
        <x:f>IFERROR(F17/E17,0)</x:f>
        <x:v>0.5000000000000001</x:v>
      </x:c>
    </x:row>
    <x:row r="19">
      <x:c r="A19" s="17" t="inlineStr">
        <x:is>
          <x:t xml:space="preserve">TOTAL — monitoring CHARGED</x:t>
        </x:is>
      </x:c>
      <x:c r="B19" s="18" t="n"/>
      <x:c r="C19" s="18" t="n"/>
      <x:c r="D19" s="43" t="n">
        <x:f>SUM(D14:D17)</x:f>
        <x:v>301.20000000000005</x:v>
      </x:c>
      <x:c r="E19" s="43" t="n">
        <x:f>SUM(E14:E17)</x:f>
        <x:v>1671.7</x:v>
      </x:c>
      <x:c r="F19" s="43" t="n">
        <x:f>E19-D19</x:f>
        <x:v>1370.5</x:v>
      </x:c>
      <x:c r="G19" s="44" t="n">
        <x:f>IFERROR(F19/E19,0)</x:f>
        <x:v>0.8198241311240054</x:v>
      </x:c>
    </x:row>
    <x:row r="20">
      <x:c r="A20" s="17" t="inlineStr">
        <x:is>
          <x:t xml:space="preserve">TOTAL — monitoring ABSORBED</x:t>
        </x:is>
      </x:c>
      <x:c r="B20" s="18" t="n"/>
      <x:c r="C20" s="18" t="n"/>
      <x:c r="D20" s="43" t="n">
        <x:f>SUM(D14:D17)</x:f>
        <x:v>301.20000000000005</x:v>
      </x:c>
      <x:c r="E20" s="43" t="n">
        <x:f>SUM(E14:E16)</x:f>
        <x:v>1652.5</x:v>
      </x:c>
      <x:c r="F20" s="43" t="n">
        <x:f>E20-D20</x:f>
        <x:v>1351.3</x:v>
      </x:c>
      <x:c r="G20" s="44" t="n">
        <x:f>IFERROR(F20/E20,0)</x:f>
        <x:v>0.8177307110438728</x:v>
      </x:c>
    </x:row>
    <x:row r="23">
      <x:c r="A23" s="3" t="str">
        <x:v>STARTER PLAN CONTEXT (flat $149/mo · 2,000 credits · 3 active ICPs · 50 net-new)</x:v>
      </x:c>
    </x:row>
    <x:row r="24">
      <x:c r="A24" s="5" t="inlineStr">
        <x:is>
          <x:t xml:space="preserve">Enrichment credits consumed (import + phone)</x:t>
        </x:is>
      </x:c>
      <x:c r="C24" s="21" t="n">
        <x:f>C14+C15</x:f>
        <x:v>6525.000000000001</x:v>
      </x:c>
    </x:row>
    <x:row r="25">
      <x:c r="A25" s="5" t="inlineStr">
        <x:is>
          <x:t xml:space="preserve">Starter monthly credit grant</x:t>
        </x:is>
      </x:c>
      <x:c r="C25" s="22" t="n">
        <x:v>2000</x:v>
      </x:c>
    </x:row>
    <x:row r="26">
      <x:c r="A26" s="5" t="inlineStr">
        <x:is>
          <x:t xml:space="preserve">Credit packs needed (1,000 @ $100)</x:t>
        </x:is>
      </x:c>
      <x:c r="C26" s="22" t="n">
        <x:f>MAX(0,ROUNDUP((C24-C25)/1000,0))</x:f>
        <x:v>5</x:v>
      </x:c>
    </x:row>
    <x:row r="27">
      <x:c r="A27" s="5" t="inlineStr">
        <x:is>
          <x:t xml:space="preserve">Pack cost $</x:t>
        </x:is>
      </x:c>
      <x:c r="C27" s="45" t="n">
        <x:f>C26*100</x:f>
        <x:v>500</x:v>
      </x:c>
    </x:row>
    <x:row r="28">
      <x:c r="A28" s="5" t="inlineStr">
        <x:is>
          <x:t xml:space="preserve">Net-new leads purchased</x:t>
        </x:is>
      </x:c>
      <x:c r="C28" s="22" t="n">
        <x:f>C6</x:f>
        <x:v>1000</x:v>
      </x:c>
    </x:row>
    <x:row r="29">
      <x:c r="A29" s="5" t="inlineStr">
        <x:is>
          <x:t xml:space="preserve">Net-new included</x:t>
        </x:is>
      </x:c>
      <x:c r="C29" s="22" t="n">
        <x:v>50</x:v>
      </x:c>
    </x:row>
    <x:row r="30">
      <x:c r="A30" s="5" t="inlineStr">
        <x:is>
          <x:t xml:space="preserve">Net-new overage leads</x:t>
        </x:is>
      </x:c>
      <x:c r="C30" s="22" t="n">
        <x:f>MAX(0,C28-C29)</x:f>
        <x:v>950</x:v>
      </x:c>
    </x:row>
    <x:row r="31">
      <x:c r="A31" s="5" t="inlineStr">
        <x:is>
          <x:t xml:space="preserve">Net-new overage $ (@ $1.00)</x:t>
        </x:is>
      </x:c>
      <x:c r="C31" s="45" t="n">
        <x:f>C30*1</x:f>
        <x:v>950</x:v>
      </x:c>
    </x:row>
    <x:row r="32">
      <x:c r="A32" s="24" t="inlineStr">
        <x:is>
          <x:t xml:space="preserve">REVENUE to Arcova (base $149 + packs + net-new overage)</x:t>
        </x:is>
      </x:c>
      <x:c r="C32" s="46" t="n">
        <x:f>149+C27+C31</x:f>
        <x:v>1599</x:v>
      </x:c>
    </x:row>
    <x:row r="33">
      <x:c r="A33" s="5" t="inlineStr">
        <x:is>
          <x:t xml:space="preserve">Total COGS (this scenario, monitoring absorbed)</x:t>
        </x:is>
      </x:c>
      <x:c r="C33" s="45" t="n">
        <x:f>D20</x:f>
        <x:v>301.20000000000005</x:v>
      </x:c>
    </x:row>
    <x:row r="34">
      <x:c r="A34" s="24" t="inlineStr">
        <x:is>
          <x:t xml:space="preserve">Gross profit $</x:t>
        </x:is>
      </x:c>
      <x:c r="C34" s="46" t="n">
        <x:f>C32-C33</x:f>
        <x:v>1297.8</x:v>
      </x:c>
    </x:row>
    <x:row r="35">
      <x:c r="A35" s="24" t="inlineStr">
        <x:is>
          <x:t xml:space="preserve">Gross margin %</x:t>
        </x:is>
      </x:c>
      <x:c r="C35" s="47" t="n">
        <x:f>IFERROR(C34/C32,0)</x:f>
        <x:v>0.8116322701688555</x:v>
      </x:c>
    </x:row>
    <x:row r="37">
      <x:c r="A37" t="str">
        <x:v>Active ICP cap (Free)</x:v>
      </x:c>
      <x:c r="B37"/>
      <x:c r="C37" t="n">
        <x:v>1</x:v>
      </x:c>
    </x:row>
    <x:row r="38">
      <x:c r="A38" t="str">
        <x:v>Active ICP cap (Starter)</x:v>
      </x:c>
      <x:c r="B38"/>
      <x:c r="C38" t="n">
        <x:v>3</x:v>
      </x:c>
    </x:row>
    <x:row r="39">
      <x:c r="A39" t="str">
        <x:v>Active ICP cap (Growth)</x:v>
      </x:c>
      <x:c r="B39"/>
      <x:c r="C39" t="n">
        <x:v>10</x:v>
      </x:c>
    </x:row>
    <x:row r="41">
      <x:c r="A41" t="str">
        <x:v>Purchased credits increase spend only; ICP slots stay plan-capped</x:v>
      </x:c>
      <x:c r="B41"/>
      <x:c r="C41"/>
    </x:row>
  </x:sheetData>
  <x:dataValidations count="2">
    <x:dataValidation type="list" allowBlank="1" showDropDown="0" showInputMessage="0" showErrorMessage="0" sqref="C5">
      <x:formula1>"100,500,1000,5000,10000,25000,50000"</x:formula1>
    </x:dataValidation>
    <x:dataValidation type="list" allowBlank="1" showDropDown="0" showInputMessage="0" showErrorMessage="0" sqref="C6">
      <x:formula1>"0,100,500,1000,5000,10000"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2" customWidth="1"/>
    <x:col min="3" max="3" width="30" customWidth="1"/>
  </x:cols>
  <x:sheetData>
    <x:row r="1">
      <x:c r="A1" s="1" t="inlineStr">
        <x:is>
          <x:t xml:space="preserve">ASSUMPTIONS — edit the blue values to flex the whole model</x:t>
        </x:is>
      </x:c>
    </x:row>
    <x:row r="2">
      <x:c r="A2" s="27" t="inlineStr">
        <x:is>
          <x:t xml:space="preserve">Parameter</x:t>
        </x:is>
      </x:c>
      <x:c r="B2" s="27" t="inlineStr">
        <x:is>
          <x:t xml:space="preserve">Value</x:t>
        </x:is>
      </x:c>
      <x:c r="C2" s="27" t="inlineStr">
        <x:is>
          <x:t xml:space="preserve">Note</x:t>
        </x:is>
      </x:c>
    </x:row>
    <x:row r="3">
      <x:c r="A3" s="5" t="inlineStr">
        <x:is>
          <x:t xml:space="preserve">Apollo $ / credit</x:t>
        </x:is>
      </x:c>
      <x:c r="B3" s="48" t="n">
        <x:v>0.02</x:v>
      </x:c>
      <x:c r="C3" s="2" t="inlineStr">
        <x:is>
          <x:t xml:space="preserve">mid-tier paid; free today</x:t>
        </x:is>
      </x:c>
    </x:row>
    <x:row r="4">
      <x:c r="A4" s="5" t="inlineStr">
        <x:is>
          <x:t xml:space="preserve">Apify scrape $ (profile/company)</x:t>
        </x:is>
      </x:c>
      <x:c r="B4" s="48" t="n">
        <x:v>0.004</x:v>
      </x:c>
      <x:c r="C4" s="2" t="inlineStr">
        <x:is>
          <x:t xml:space="preserve"/>
        </x:is>
      </x:c>
    </x:row>
    <x:row r="5">
      <x:c r="A5" s="5" t="inlineStr">
        <x:is>
          <x:t xml:space="preserve">Apify job $ (per job)</x:t>
        </x:is>
      </x:c>
      <x:c r="B5" s="48" t="n">
        <x:v>0.001</x:v>
      </x:c>
      <x:c r="C5" s="2" t="inlineStr">
        <x:is>
          <x:t xml:space="preserve"/>
        </x:is>
      </x:c>
    </x:row>
    <x:row r="6">
      <x:c r="A6" s="5" t="inlineStr">
        <x:is>
          <x:t xml:space="preserve">ZeroBounce validate $</x:t>
        </x:is>
      </x:c>
      <x:c r="B6" s="48" t="n">
        <x:v>0.005</x:v>
      </x:c>
      <x:c r="C6" s="2" t="inlineStr">
        <x:is>
          <x:t xml:space="preserve">only if not Apollo-validated</x:t>
        </x:is>
      </x:c>
    </x:row>
    <x:row r="7">
      <x:c r="A7" s="5" t="inlineStr">
        <x:is>
          <x:t xml:space="preserve">ZeroBounce finder $</x:t>
        </x:is>
      </x:c>
      <x:c r="B7" s="49" t="n">
        <x:v>0.1</x:v>
      </x:c>
      <x:c r="C7" s="2" t="inlineStr">
        <x:is>
          <x:t xml:space="preserve">20 ZB credits</x:t>
        </x:is>
      </x:c>
    </x:row>
    <x:row r="8">
      <x:c r="A8" s="5" t="inlineStr">
        <x:is>
          <x:t xml:space="preserve">Haiku call $ (triage/fit-screen)</x:t>
        </x:is>
      </x:c>
      <x:c r="B8" s="48" t="n">
        <x:v>0.003</x:v>
      </x:c>
      <x:c r="C8" s="2" t="inlineStr">
        <x:is>
          <x:t xml:space="preserve">~2.5k in + 250 out</x:t>
        </x:is>
      </x:c>
    </x:row>
    <x:row r="9">
      <x:c r="A9" s="5" t="inlineStr">
        <x:is>
          <x:t xml:space="preserve">Web-search LLM call $</x:t>
        </x:is>
      </x:c>
      <x:c r="B9" s="48" t="n">
        <x:v>0.015</x:v>
      </x:c>
      <x:c r="C9" s="2" t="inlineStr">
        <x:is>
          <x:t xml:space="preserve"/>
        </x:is>
      </x:c>
    </x:row>
    <x:row r="10">
      <x:c r="A10" s="5" t="inlineStr">
        <x:is>
          <x:t xml:space="preserve">Sonnet outreach $</x:t>
        </x:is>
      </x:c>
      <x:c r="B10" s="48" t="n">
        <x:v>0.04</x:v>
      </x:c>
      <x:c r="C10" s="2" t="inlineStr">
        <x:is>
          <x:t xml:space="preserve"/>
        </x:is>
      </x:c>
    </x:row>
    <x:row r="11">
      <x:c r="A11" s="5" t="inlineStr">
        <x:is>
          <x:t xml:space="preserve">SELL $ / credit</x:t>
        </x:is>
      </x:c>
      <x:c r="B11" s="49" t="n">
        <x:v>0.1</x:v>
      </x:c>
      <x:c r="C11" s="2" t="inlineStr">
        <x:is>
          <x:t xml:space="preserve">pack rate = $100 / 1,000</x:t>
        </x:is>
      </x:c>
    </x:row>
    <x:row r="12">
      <x:c r="A12" s="5" t="inlineStr">
        <x:is>
          <x:t xml:space="preserve">Net-new SELL $ / lead</x:t>
        </x:is>
      </x:c>
      <x:c r="B12" s="49" t="n">
        <x:v>1</x:v>
      </x:c>
      <x:c r="C12" s="2" t="inlineStr">
        <x:is>
          <x:t xml:space="preserve">premium meter B</x:t>
        </x:is>
      </x:c>
    </x:row>
    <x:row r="13">
      <x:c r="A13" s="5" t="inlineStr">
        <x:is>
          <x:t xml:space="preserve">Credit COGS basis $ / credit</x:t>
        </x:is>
      </x:c>
      <x:c r="B13" s="49" t="n">
        <x:v>0.05</x:v>
      </x:c>
      <x:c r="C13" s="2" t="inlineStr">
        <x:is>
          <x:t xml:space="preserve">1 credit = 1 enriched lead</x:t>
        </x:is>
      </x:c>
    </x:row>
    <x:row r="14">
      <x:c r="A14" s="5" t="inlineStr">
        <x:is>
          <x:t xml:space="preserve">Contacts per company (amortization)</x:t>
        </x:is>
      </x:c>
      <x:c r="B14" s="50" t="n">
        <x:v>2.5</x:v>
      </x:c>
      <x:c r="C14" s="2" t="inlineStr">
        <x:is>
          <x:t xml:space="preserve">company-level cost / this</x:t>
        </x:is>
      </x:c>
    </x:row>
    <x:row r="15">
      <x:c r="A15" s="5" t="inlineStr">
        <x:is>
          <x:t xml:space="preserve">Email-validate rate (share needing ZB)</x:t>
        </x:is>
      </x:c>
      <x:c r="B15" s="40" t="n">
        <x:v>0.6</x:v>
      </x:c>
      <x:c r="C15" s="2" t="inlineStr">
        <x:is>
          <x:t xml:space="preserve">rest already Apollo-valid</x:t>
        </x:is>
      </x:c>
    </x:row>
    <x:row r="16">
      <x:c r="A16" s="5" t="inlineStr">
        <x:is>
          <x:t xml:space="preserve">Phone reveal — Apollo credits</x:t>
        </x:is>
      </x:c>
      <x:c r="B16" s="6" t="n">
        <x:v>8</x:v>
      </x:c>
      <x:c r="C16" s="2" t="inlineStr">
        <x:is>
          <x:t xml:space="preserve"/>
        </x:is>
      </x:c>
    </x:row>
    <x:row r="17">
      <x:c r="A17" s="5" t="inlineStr">
        <x:is>
          <x:t xml:space="preserve">Apollo company-search $ / lead</x:t>
        </x:is>
      </x:c>
      <x:c r="B17" s="48" t="n">
        <x:v>0.004</x:v>
      </x:c>
      <x:c r="C17" s="2" t="inlineStr">
        <x:is>
          <x:t xml:space="preserve"/>
        </x:is>
      </x:c>
    </x:row>
    <x:row r="18">
      <x:c r="A18" s="5" t="inlineStr">
        <x:is>
          <x:t xml:space="preserve">Apollo people-search $ / lead</x:t>
        </x:is>
      </x:c>
      <x:c r="B18" s="48" t="n">
        <x:v>0.002</x:v>
      </x:c>
      <x:c r="C18" s="2" t="inlineStr">
        <x:is>
          <x:t xml:space="preserve"/>
        </x:is>
      </x:c>
    </x:row>
    <x:row r="19">
      <x:c r="A19" s="5" t="inlineStr">
        <x:is>
          <x:t xml:space="preserve">LLM small call $</x:t>
        </x:is>
      </x:c>
      <x:c r="B19" s="48" t="n">
        <x:v>0.01</x:v>
      </x:c>
      <x:c r="C19" s="2" t="inlineStr">
        <x:is>
          <x:t xml:space="preserve"/>
        </x:is>
      </x:c>
    </x:row>
    <x:row r="20">
      <x:c r="A20" s="5" t="inlineStr">
        <x:is>
          <x:t xml:space="preserve">Haiku tiny $ (classify)</x:t>
        </x:is>
      </x:c>
      <x:c r="B20" s="48" t="n">
        <x:v>0.0005</x:v>
      </x:c>
      <x:c r="C20" s="2" t="inlineStr">
        <x:is>
          <x:t xml:space="preserve"/>
        </x:is>
      </x:c>
    </x:row>
    <x:row r="21">
      <x:c r="A21" s="5" t="inlineStr">
        <x:is>
          <x:t xml:space="preserve">Agent turn $ (side panel)</x:t>
        </x:is>
      </x:c>
      <x:c r="B21" s="48" t="n">
        <x:v>0.012</x:v>
      </x:c>
      <x:c r="C21" s="2" t="inlineStr">
        <x:is>
          <x:t xml:space="preserve"/>
        </x:is>
      </x:c>
    </x:row>
    <x:row r="22">
      <x:c r="A22" s="5" t="inlineStr">
        <x:is>
          <x:t xml:space="preserve">Central agent turn $</x:t>
        </x:is>
      </x:c>
      <x:c r="B22" s="48" t="n">
        <x:v>0.02</x:v>
      </x:c>
      <x:c r="C22" s="2" t="inlineStr">
        <x:is>
          <x:t xml:space="preserve"/>
        </x:is>
      </x:c>
    </x:row>
    <x:row r="24">
      <x:c r="A24" t="str">
        <x:v>Free active ICP cap</x:v>
      </x:c>
      <x:c r="B24" t="n">
        <x:v>1</x:v>
      </x:c>
      <x:c r="C24" t="str">
        <x:v>saved ICP profiles</x:v>
      </x:c>
    </x:row>
    <x:row r="25">
      <x:c r="A25" t="str">
        <x:v>Starter active ICP cap</x:v>
      </x:c>
      <x:c r="B25" t="n">
        <x:v>3</x:v>
      </x:c>
      <x:c r="C25" t="str">
        <x:v>saved ICP profiles</x:v>
      </x:c>
    </x:row>
    <x:row r="26">
      <x:c r="A26" t="str">
        <x:v>Growth active ICP cap</x:v>
      </x:c>
      <x:c r="B26" t="n">
        <x:v>10</x:v>
      </x:c>
      <x:c r="C26" t="str">
        <x:v>saved ICP profiles</x:v>
      </x:c>
    </x:row>
    <x:row r="27">
      <x:c r="A27" t="str">
        <x:v>Purchased credits</x:v>
      </x:c>
      <x:c r="B27"/>
      <x:c r="C27" t="str">
        <x:v>do not increase active ICP capacity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14" customWidth="1"/>
    <x:col min="3" max="3" width="16" customWidth="1"/>
  </x:cols>
  <x:sheetData>
    <x:row r="1">
      <x:c r="A1" s="1" t="inlineStr">
        <x:is>
          <x:t xml:space="preserve">BUNDLED SEQUENCES — actions that fire together as one billable unit</x:t>
        </x:is>
      </x:c>
    </x:row>
    <x:row r="3">
      <x:c r="A3" s="3" t="inlineStr">
        <x:is>
          <x:t xml:space="preserve">BUNDLE 1 — Import lead enrich (per imported contact)</x:t>
        </x:is>
      </x:c>
    </x:row>
    <x:row r="4">
      <x:c r="A4" s="27" t="inlineStr">
        <x:is>
          <x:t xml:space="preserve">Component</x:t>
        </x:is>
      </x:c>
      <x:c r="B4" s="27" t="inlineStr">
        <x:is>
          <x:t xml:space="preserve">Cost $</x:t>
        </x:is>
      </x:c>
      <x:c r="C4" s="27" t="inlineStr">
        <x:is>
          <x:t xml:space="preserve">Credits (charged)</x:t>
        </x:is>
      </x:c>
    </x:row>
    <x:row r="5">
      <x:c r="A5" t="inlineStr">
        <x:is>
          <x:t xml:space="preserve">Triage (contact + company ÷ cpc)</x:t>
        </x:is>
      </x:c>
      <x:c r="B5" s="51" t="n">
        <x:f>Assumptions!$B$8+Assumptions!$B$8/Assumptions!$B$14</x:f>
        <x:v>0.004200000000000001</x:v>
      </x:c>
      <x:c r="C5" s="21" t="n">
        <x:f>0.05+0.05/Assumptions!$B$14</x:f>
        <x:v>0.07</x:v>
      </x:c>
    </x:row>
    <x:row r="6">
      <x:c r="A6" t="inlineStr">
        <x:is>
          <x:t xml:space="preserve">Lead enrich (contact + company + 2 scrapes, co. amortized)</x:t>
        </x:is>
      </x:c>
      <x:c r="B6" s="51" t="n">
        <x:f>Assumptions!$B$3+Assumptions!$B$4+Assumptions!$B$3/Assumptions!$B$14+Assumptions!$B$4/Assumptions!$B$14</x:f>
        <x:v>0.0336</x:v>
      </x:c>
      <x:c r="C6" s="21" t="n">
        <x:v>1</x:v>
      </x:c>
    </x:row>
    <x:row r="7">
      <x:c r="A7" t="inlineStr">
        <x:is>
          <x:t xml:space="preserve">Email validate (× rate needing ZB)</x:t>
        </x:is>
      </x:c>
      <x:c r="B7" s="51" t="n">
        <x:f>Assumptions!$B$6*Assumptions!$B$15</x:f>
        <x:v>0.003</x:v>
      </x:c>
      <x:c r="C7" s="21" t="n">
        <x:f>0.1*Assumptions!$B$15</x:f>
        <x:v>0.06</x:v>
      </x:c>
    </x:row>
    <x:row r="8">
      <x:c r="A8" s="30" t="inlineStr">
        <x:is>
          <x:t xml:space="preserve">TOTAL per contact</x:t>
        </x:is>
      </x:c>
      <x:c r="B8" s="52" t="n">
        <x:f>SUM(B5:B7)</x:f>
        <x:v>0.0408</x:v>
      </x:c>
      <x:c r="C8" s="32" t="n">
        <x:f>SUM(C5:C7)</x:f>
        <x:v>1.1300000000000001</x:v>
      </x:c>
    </x:row>
    <x:row r="9">
      <x:c r="A9" t="inlineStr">
        <x:is>
          <x:t xml:space="preserve">Sell $ / contact (credits × sell rate)</x:t>
        </x:is>
      </x:c>
      <x:c r="B9" s="51" t="n">
        <x:f>C8*Assumptions!$B$11</x:f>
        <x:v>0.11300000000000002</x:v>
      </x:c>
    </x:row>
    <x:row r="10">
      <x:c r="A10" t="inlineStr">
        <x:is>
          <x:t xml:space="preserve">Profit $ / contact</x:t>
        </x:is>
      </x:c>
      <x:c r="B10" s="51" t="n">
        <x:f>B9-B8</x:f>
        <x:v>0.07220000000000001</x:v>
      </x:c>
    </x:row>
    <x:row r="11">
      <x:c r="A11" t="inlineStr">
        <x:is>
          <x:t xml:space="preserve">Margin %</x:t>
        </x:is>
      </x:c>
      <x:c r="B11" s="53" t="n">
        <x:f>IFERROR(B10/B9,0)</x:f>
        <x:v>0.6389380530973452</x:v>
      </x:c>
    </x:row>
    <x:row r="14">
      <x:c r="A14" s="3" t="inlineStr">
        <x:is>
          <x:t xml:space="preserve">BUNDLE 2 — Net-new lead via /data discovery (per delivered lead)</x:t>
        </x:is>
      </x:c>
    </x:row>
    <x:row r="15">
      <x:c r="A15" s="27" t="inlineStr">
        <x:is>
          <x:t xml:space="preserve">Component</x:t>
        </x:is>
      </x:c>
      <x:c r="B15" s="27" t="inlineStr">
        <x:is>
          <x:t xml:space="preserve">Cost $</x:t>
        </x:is>
      </x:c>
    </x:row>
    <x:row r="16">
      <x:c r="A16" t="inlineStr">
        <x:is>
          <x:t xml:space="preserve">Company search</x:t>
        </x:is>
      </x:c>
      <x:c r="B16" s="51" t="n">
        <x:f>Assumptions!$B$17</x:f>
        <x:v>0.004</x:v>
      </x:c>
    </x:row>
    <x:row r="17">
      <x:c r="A17" t="inlineStr">
        <x:is>
          <x:t xml:space="preserve">People search</x:t>
        </x:is>
      </x:c>
      <x:c r="B17" s="51" t="n">
        <x:f>Assumptions!$B$18</x:f>
        <x:v>0.002</x:v>
      </x:c>
    </x:row>
    <x:row r="18">
      <x:c r="A18" t="inlineStr">
        <x:is>
          <x:t xml:space="preserve">Candidate fit-screen</x:t>
        </x:is>
      </x:c>
      <x:c r="B18" s="51" t="n">
        <x:f>Assumptions!$B$8</x:f>
        <x:v>0.003</x:v>
      </x:c>
    </x:row>
    <x:row r="19">
      <x:c r="A19" t="inlineStr">
        <x:is>
          <x:t xml:space="preserve">Company enrich (÷ cpc)</x:t>
        </x:is>
      </x:c>
      <x:c r="B19" s="51" t="n">
        <x:f>Assumptions!$B$3/Assumptions!$B$14</x:f>
        <x:v>0.008</x:v>
      </x:c>
    </x:row>
    <x:row r="20">
      <x:c r="A20" t="inlineStr">
        <x:is>
          <x:t xml:space="preserve">Person enrich</x:t>
        </x:is>
      </x:c>
      <x:c r="B20" s="51" t="n">
        <x:f>Assumptions!$B$3</x:f>
        <x:v>0.02</x:v>
      </x:c>
    </x:row>
    <x:row r="21">
      <x:c r="A21" t="inlineStr">
        <x:is>
          <x:t xml:space="preserve">Profile + company scrape</x:t>
        </x:is>
      </x:c>
      <x:c r="B21" s="51" t="n">
        <x:f>Assumptions!$B$4+Assumptions!$B$4/Assumptions!$B$14</x:f>
        <x:v>0.0056</x:v>
      </x:c>
    </x:row>
    <x:row r="22">
      <x:c r="A22" t="inlineStr">
        <x:is>
          <x:t xml:space="preserve">Email validate</x:t>
        </x:is>
      </x:c>
      <x:c r="B22" s="51" t="n">
        <x:f>Assumptions!$B$6</x:f>
        <x:v>0.005</x:v>
      </x:c>
    </x:row>
    <x:row r="23">
      <x:c r="A23" s="30" t="inlineStr">
        <x:is>
          <x:t xml:space="preserve">TOTAL cost / lead</x:t>
        </x:is>
      </x:c>
      <x:c r="B23" s="52" t="n">
        <x:f>SUM(B16:B22)</x:f>
        <x:v>0.0476</x:v>
      </x:c>
    </x:row>
    <x:row r="24">
      <x:c r="A24" t="inlineStr">
        <x:is>
          <x:t xml:space="preserve">Sell $ / lead (Meter B, premium)</x:t>
        </x:is>
      </x:c>
      <x:c r="B24" s="54" t="n">
        <x:f>Assumptions!$B$12</x:f>
        <x:v>1</x:v>
      </x:c>
    </x:row>
    <x:row r="25">
      <x:c r="A25" t="inlineStr">
        <x:is>
          <x:t xml:space="preserve">Profit $ / lead</x:t>
        </x:is>
      </x:c>
      <x:c r="B25" s="54" t="n">
        <x:f>B24-B23</x:f>
        <x:v>0.9524</x:v>
      </x:c>
    </x:row>
    <x:row r="26">
      <x:c r="A26" t="inlineStr">
        <x:is>
          <x:t xml:space="preserve">Margin %</x:t>
        </x:is>
      </x:c>
      <x:c r="B26" s="53" t="n">
        <x:f>IFERROR(B25/B24,0)</x:f>
        <x:v>0.9524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4" customWidth="1"/>
    <x:col min="3" max="3" width="34" customWidth="1"/>
    <x:col min="4" max="4" width="24" customWidth="1"/>
    <x:col min="5" max="5" width="13" customWidth="1"/>
    <x:col min="6" max="6" width="13" customWidth="1"/>
    <x:col min="7" max="7" width="28" customWidth="1"/>
  </x:cols>
  <x:sheetData>
    <x:row r="1">
      <x:c r="A1" s="1" t="inlineStr">
        <x:is>
          <x:t xml:space="preserve">MASTER DRIVER LEDGER — every cost-incurring action (47)</x:t>
        </x:is>
      </x:c>
    </x:row>
    <x:row r="2">
      <x:c r="A2" s="9" t="inlineStr">
        <x:is>
          <x:t xml:space="preserve">Category</x:t>
        </x:is>
      </x:c>
      <x:c r="B2" s="9" t="inlineStr">
        <x:is>
          <x:t xml:space="preserve">#</x:t>
        </x:is>
      </x:c>
      <x:c r="C2" s="9" t="inlineStr">
        <x:is>
          <x:t xml:space="preserve">Driver</x:t>
        </x:is>
      </x:c>
      <x:c r="D2" s="9" t="inlineStr">
        <x:is>
          <x:t xml:space="preserve">Provider / mechanism</x:t>
        </x:is>
      </x:c>
      <x:c r="E2" s="9" t="inlineStr">
        <x:is>
          <x:t xml:space="preserve">Cost / unit $</x:t>
        </x:is>
      </x:c>
      <x:c r="F2" s="9" t="inlineStr">
        <x:is>
          <x:t xml:space="preserve">If charged (cr)</x:t>
        </x:is>
      </x:c>
      <x:c r="G2" s="9" t="inlineStr">
        <x:is>
          <x:t xml:space="preserve">Treatment</x:t>
        </x:is>
      </x:c>
    </x:row>
    <x:row r="3">
      <x:c r="A3" s="35" t="inlineStr">
        <x:is>
          <x:t xml:space="preserve">Setup (one-time)</x:t>
        </x:is>
      </x:c>
      <x:c r="B3" s="36" t="n">
        <x:v>1</x:v>
      </x:c>
      <x:c r="C3" s="36" t="inlineStr">
        <x:is>
          <x:t xml:space="preserve">My-company analyze</x:t>
        </x:is>
      </x:c>
      <x:c r="D3" s="36" t="inlineStr">
        <x:is>
          <x:t xml:space="preserve">Claude web search</x:t>
        </x:is>
      </x:c>
      <x:c r="E3" s="55" t="n">
        <x:f>Assumptions!$B$9</x:f>
        <x:v>0.015</x:v>
      </x:c>
      <x:c r="F3" s="38" t="n">
        <x:f>ROUND(E3/Assumptions!$B$13,2)</x:f>
        <x:v>0.3</x:v>
      </x:c>
      <x:c r="G3" s="36" t="inlineStr">
        <x:is>
          <x:t xml:space="preserve">Free</x:t>
        </x:is>
      </x:c>
    </x:row>
    <x:row r="4">
      <x:c r="A4" s="35" t="inlineStr">
        <x:is>
          <x:t xml:space="preserve">Setup (one-time)</x:t>
        </x:is>
      </x:c>
      <x:c r="B4" s="36" t="n">
        <x:v>2</x:v>
      </x:c>
      <x:c r="C4" s="36" t="inlineStr">
        <x:is>
          <x:t xml:space="preserve">My-company enrich</x:t>
        </x:is>
      </x:c>
      <x:c r="D4" s="36" t="inlineStr">
        <x:is>
          <x:t xml:space="preserve">Apollo org</x:t>
        </x:is>
      </x:c>
      <x:c r="E4" s="55" t="n">
        <x:f>Assumptions!$B$3</x:f>
        <x:v>0.02</x:v>
      </x:c>
      <x:c r="F4" s="38" t="n">
        <x:f>ROUND(E4/Assumptions!$B$13,2)</x:f>
        <x:v>0.4</x:v>
      </x:c>
      <x:c r="G4" s="36" t="inlineStr">
        <x:is>
          <x:t xml:space="preserve">Free</x:t>
        </x:is>
      </x:c>
    </x:row>
    <x:row r="5">
      <x:c r="A5" s="35" t="inlineStr">
        <x:is>
          <x:t xml:space="preserve">Setup (one-time)</x:t>
        </x:is>
      </x:c>
      <x:c r="B5" s="36" t="n">
        <x:v>3</x:v>
      </x:c>
      <x:c r="C5" s="36" t="inlineStr">
        <x:is>
          <x:t xml:space="preserve">My-company LinkedIn scrape</x:t>
        </x:is>
      </x:c>
      <x:c r="D5" s="36" t="inlineStr">
        <x:is>
          <x:t xml:space="preserve">Apify company</x:t>
        </x:is>
      </x:c>
      <x:c r="E5" s="55" t="n">
        <x:f>Assumptions!$B$4</x:f>
        <x:v>0.004</x:v>
      </x:c>
      <x:c r="F5" s="38" t="n">
        <x:f>ROUND(E5/Assumptions!$B$13,2)</x:f>
        <x:v>0.08</x:v>
      </x:c>
      <x:c r="G5" s="36" t="inlineStr">
        <x:is>
          <x:t xml:space="preserve">Free</x:t>
        </x:is>
      </x:c>
    </x:row>
    <x:row r="6">
      <x:c r="A6" s="35" t="inlineStr">
        <x:is>
          <x:t xml:space="preserve">Setup (one-time)</x:t>
        </x:is>
      </x:c>
      <x:c r="B6" s="36" t="n">
        <x:v>4</x:v>
      </x:c>
      <x:c r="C6" s="36" t="inlineStr">
        <x:is>
          <x:t xml:space="preserve">My-profile enrich</x:t>
        </x:is>
      </x:c>
      <x:c r="D6" s="36" t="inlineStr">
        <x:is>
          <x:t xml:space="preserve">Apollo + Apify</x:t>
        </x:is>
      </x:c>
      <x:c r="E6" s="55" t="n">
        <x:f>Assumptions!$B$3+Assumptions!$B$4</x:f>
        <x:v>0.024</x:v>
      </x:c>
      <x:c r="F6" s="38" t="n">
        <x:f>ROUND(E6/Assumptions!$B$13,2)</x:f>
        <x:v>0.48</x:v>
      </x:c>
      <x:c r="G6" s="36" t="inlineStr">
        <x:is>
          <x:t xml:space="preserve">Free</x:t>
        </x:is>
      </x:c>
    </x:row>
    <x:row r="7">
      <x:c r="A7" s="35" t="inlineStr">
        <x:is>
          <x:t xml:space="preserve">Setup (one-time)</x:t>
        </x:is>
      </x:c>
      <x:c r="B7" s="36" t="n">
        <x:v>5</x:v>
      </x:c>
      <x:c r="C7" s="36" t="inlineStr">
        <x:is>
          <x:t xml:space="preserve">ICP example enrich (per co.)</x:t>
        </x:is>
      </x:c>
      <x:c r="D7" s="36" t="inlineStr">
        <x:is>
          <x:t xml:space="preserve">Claude + Apollo + Apify</x:t>
        </x:is>
      </x:c>
      <x:c r="E7" s="55" t="n">
        <x:f>Assumptions!$B$9+Assumptions!$B$3+Assumptions!$B$4</x:f>
        <x:v>0.03900000000000001</x:v>
      </x:c>
      <x:c r="F7" s="38" t="n">
        <x:f>ROUND(E7/Assumptions!$B$13,2)</x:f>
        <x:v>0.78</x:v>
      </x:c>
      <x:c r="G7" s="36" t="str">
        <x:v>Free within active ICP cap (1/3/10)</x:v>
      </x:c>
    </x:row>
    <x:row r="8">
      <x:c r="A8" s="35" t="inlineStr">
        <x:is>
          <x:t xml:space="preserve">Setup (one-time)</x:t>
        </x:is>
      </x:c>
      <x:c r="B8" s="36" t="n">
        <x:v>6</x:v>
      </x:c>
      <x:c r="C8" s="36" t="inlineStr">
        <x:is>
          <x:t xml:space="preserve">Buying-team generation</x:t>
        </x:is>
      </x:c>
      <x:c r="D8" s="36" t="inlineStr">
        <x:is>
          <x:t xml:space="preserve">Claude LLM</x:t>
        </x:is>
      </x:c>
      <x:c r="E8" s="55" t="n">
        <x:f>Assumptions!$B$19</x:f>
        <x:v>0.01</x:v>
      </x:c>
      <x:c r="F8" s="38" t="n">
        <x:f>ROUND(E8/Assumptions!$B$13,2)</x:f>
        <x:v>0.2</x:v>
      </x:c>
      <x:c r="G8" s="36" t="inlineStr">
        <x:is>
          <x:t xml:space="preserve">Free</x:t>
        </x:is>
      </x:c>
    </x:row>
    <x:row r="9">
      <x:c r="A9" s="35" t="inlineStr">
        <x:is>
          <x:t xml:space="preserve">Import &amp; enrich</x:t>
        </x:is>
      </x:c>
      <x:c r="B9" s="36" t="n">
        <x:v>7</x:v>
      </x:c>
      <x:c r="C9" s="36" t="inlineStr">
        <x:is>
          <x:t xml:space="preserve">CRM pull</x:t>
        </x:is>
      </x:c>
      <x:c r="D9" s="36" t="inlineStr">
        <x:is>
          <x:t xml:space="preserve">HubSpot / Nango</x:t>
        </x:is>
      </x:c>
      <x:c r="E9" s="55" t="n">
        <x:f>0</x:f>
        <x:v>0</x:v>
      </x:c>
      <x:c r="F9" s="38" t="n">
        <x:f>ROUND(E9/Assumptions!$B$13,2)</x:f>
        <x:v>0</x:v>
      </x:c>
      <x:c r="G9" s="36" t="inlineStr">
        <x:is>
          <x:t xml:space="preserve">Free</x:t>
        </x:is>
      </x:c>
    </x:row>
    <x:row r="10">
      <x:c r="A10" s="35" t="inlineStr">
        <x:is>
          <x:t xml:space="preserve">Import &amp; enrich</x:t>
        </x:is>
      </x:c>
      <x:c r="B10" s="36" t="n">
        <x:v>8</x:v>
      </x:c>
      <x:c r="C10" s="36" t="inlineStr">
        <x:is>
          <x:t xml:space="preserve">CSV ingest</x:t>
        </x:is>
      </x:c>
      <x:c r="D10" s="36" t="inlineStr">
        <x:is>
          <x:t xml:space="preserve">—</x:t>
        </x:is>
      </x:c>
      <x:c r="E10" s="55" t="n">
        <x:f>0</x:f>
        <x:v>0</x:v>
      </x:c>
      <x:c r="F10" s="38" t="n">
        <x:f>ROUND(E10/Assumptions!$B$13,2)</x:f>
        <x:v>0</x:v>
      </x:c>
      <x:c r="G10" s="36" t="inlineStr">
        <x:is>
          <x:t xml:space="preserve">Free</x:t>
        </x:is>
      </x:c>
    </x:row>
    <x:row r="11">
      <x:c r="A11" s="35" t="inlineStr">
        <x:is>
          <x:t xml:space="preserve">Import &amp; enrich</x:t>
        </x:is>
      </x:c>
      <x:c r="B11" s="36" t="n">
        <x:v>9</x:v>
      </x:c>
      <x:c r="C11" s="36" t="inlineStr">
        <x:is>
          <x:t xml:space="preserve">Triage — company</x:t>
        </x:is>
      </x:c>
      <x:c r="D11" s="36" t="inlineStr">
        <x:is>
          <x:t xml:space="preserve">Haiku</x:t>
        </x:is>
      </x:c>
      <x:c r="E11" s="55" t="n">
        <x:f>Assumptions!$B$8</x:f>
        <x:v>0.003</x:v>
      </x:c>
      <x:c r="F11" s="38" t="n">
        <x:f>ROUND(E11/Assumptions!$B$13,2)</x:f>
        <x:v>0.06</x:v>
      </x:c>
      <x:c r="G11" s="36" t="inlineStr">
        <x:is>
          <x:t xml:space="preserve">Charge</x:t>
        </x:is>
      </x:c>
    </x:row>
    <x:row r="12">
      <x:c r="A12" s="35" t="inlineStr">
        <x:is>
          <x:t xml:space="preserve">Import &amp; enrich</x:t>
        </x:is>
      </x:c>
      <x:c r="B12" s="36" t="n">
        <x:v>10</x:v>
      </x:c>
      <x:c r="C12" s="36" t="inlineStr">
        <x:is>
          <x:t xml:space="preserve">Triage — contact</x:t>
        </x:is>
      </x:c>
      <x:c r="D12" s="36" t="inlineStr">
        <x:is>
          <x:t xml:space="preserve">Haiku</x:t>
        </x:is>
      </x:c>
      <x:c r="E12" s="55" t="n">
        <x:f>Assumptions!$B$8</x:f>
        <x:v>0.003</x:v>
      </x:c>
      <x:c r="F12" s="38" t="n">
        <x:f>ROUND(E12/Assumptions!$B$13,2)</x:f>
        <x:v>0.06</x:v>
      </x:c>
      <x:c r="G12" s="36" t="inlineStr">
        <x:is>
          <x:t xml:space="preserve">Charge</x:t>
        </x:is>
      </x:c>
    </x:row>
    <x:row r="13">
      <x:c r="A13" s="35" t="inlineStr">
        <x:is>
          <x:t xml:space="preserve">Import &amp; enrich</x:t>
        </x:is>
      </x:c>
      <x:c r="B13" s="36" t="n">
        <x:v>11</x:v>
      </x:c>
      <x:c r="C13" s="36" t="inlineStr">
        <x:is>
          <x:t xml:space="preserve">Contact enrich</x:t>
        </x:is>
      </x:c>
      <x:c r="D13" s="36" t="inlineStr">
        <x:is>
          <x:t xml:space="preserve">Apollo person</x:t>
        </x:is>
      </x:c>
      <x:c r="E13" s="55" t="n">
        <x:f>Assumptions!$B$3</x:f>
        <x:v>0.02</x:v>
      </x:c>
      <x:c r="F13" s="38" t="n">
        <x:f>ROUND(E13/Assumptions!$B$13,2)</x:f>
        <x:v>0.4</x:v>
      </x:c>
      <x:c r="G13" s="36" t="inlineStr">
        <x:is>
          <x:t xml:space="preserve">Charge (in Lead enrich)</x:t>
        </x:is>
      </x:c>
    </x:row>
    <x:row r="14">
      <x:c r="A14" s="35" t="inlineStr">
        <x:is>
          <x:t xml:space="preserve">Import &amp; enrich</x:t>
        </x:is>
      </x:c>
      <x:c r="B14" s="36" t="n">
        <x:v>12</x:v>
      </x:c>
      <x:c r="C14" s="36" t="inlineStr">
        <x:is>
          <x:t xml:space="preserve">Email-reveal follow-up</x:t>
        </x:is>
      </x:c>
      <x:c r="D14" s="36" t="inlineStr">
        <x:is>
          <x:t xml:space="preserve">Apollo 2nd match</x:t>
        </x:is>
      </x:c>
      <x:c r="E14" s="55" t="n">
        <x:f>Assumptions!$B$3</x:f>
        <x:v>0.02</x:v>
      </x:c>
      <x:c r="F14" s="38" t="n">
        <x:f>ROUND(E14/Assumptions!$B$13,2)</x:f>
        <x:v>0.4</x:v>
      </x:c>
      <x:c r="G14" s="36" t="inlineStr">
        <x:is>
          <x:t xml:space="preserve">Decide (conditional)</x:t>
        </x:is>
      </x:c>
    </x:row>
    <x:row r="15">
      <x:c r="A15" s="35" t="inlineStr">
        <x:is>
          <x:t xml:space="preserve">Import &amp; enrich</x:t>
        </x:is>
      </x:c>
      <x:c r="B15" s="36" t="n">
        <x:v>13</x:v>
      </x:c>
      <x:c r="C15" s="36" t="inlineStr">
        <x:is>
          <x:t xml:space="preserve">LinkedIn URL resolve</x:t>
        </x:is>
      </x:c>
      <x:c r="D15" s="36" t="inlineStr">
        <x:is>
          <x:t xml:space="preserve">Claude / OpenRouter</x:t>
        </x:is>
      </x:c>
      <x:c r="E15" s="55" t="n">
        <x:f>Assumptions!$B$9</x:f>
        <x:v>0.015</x:v>
      </x:c>
      <x:c r="F15" s="38" t="n">
        <x:f>ROUND(E15/Assumptions!$B$13,2)</x:f>
        <x:v>0.3</x:v>
      </x:c>
      <x:c r="G15" s="36" t="inlineStr">
        <x:is>
          <x:t xml:space="preserve">Decide (conditional)</x:t>
        </x:is>
      </x:c>
    </x:row>
    <x:row r="16">
      <x:c r="A16" s="35" t="inlineStr">
        <x:is>
          <x:t xml:space="preserve">Import &amp; enrich</x:t>
        </x:is>
      </x:c>
      <x:c r="B16" s="36" t="n">
        <x:v>14</x:v>
      </x:c>
      <x:c r="C16" s="36" t="inlineStr">
        <x:is>
          <x:t xml:space="preserve">Profile scrape</x:t>
        </x:is>
      </x:c>
      <x:c r="D16" s="36" t="inlineStr">
        <x:is>
          <x:t xml:space="preserve">Apify profile</x:t>
        </x:is>
      </x:c>
      <x:c r="E16" s="55" t="n">
        <x:f>Assumptions!$B$4</x:f>
        <x:v>0.004</x:v>
      </x:c>
      <x:c r="F16" s="38" t="n">
        <x:f>ROUND(E16/Assumptions!$B$13,2)</x:f>
        <x:v>0.08</x:v>
      </x:c>
      <x:c r="G16" s="36" t="inlineStr">
        <x:is>
          <x:t xml:space="preserve">Charge (in Lead enrich)</x:t>
        </x:is>
      </x:c>
    </x:row>
    <x:row r="17">
      <x:c r="A17" s="35" t="inlineStr">
        <x:is>
          <x:t xml:space="preserve">Import &amp; enrich</x:t>
        </x:is>
      </x:c>
      <x:c r="B17" s="36" t="n">
        <x:v>15</x:v>
      </x:c>
      <x:c r="C17" s="36" t="inlineStr">
        <x:is>
          <x:t xml:space="preserve">Company enrich</x:t>
        </x:is>
      </x:c>
      <x:c r="D17" s="36" t="inlineStr">
        <x:is>
          <x:t xml:space="preserve">Apollo org</x:t>
        </x:is>
      </x:c>
      <x:c r="E17" s="55" t="n">
        <x:f>Assumptions!$B$3</x:f>
        <x:v>0.02</x:v>
      </x:c>
      <x:c r="F17" s="38" t="n">
        <x:f>ROUND(E17/Assumptions!$B$13,2)</x:f>
        <x:v>0.4</x:v>
      </x:c>
      <x:c r="G17" s="36" t="inlineStr">
        <x:is>
          <x:t xml:space="preserve">Charge (in Lead enrich)</x:t>
        </x:is>
      </x:c>
    </x:row>
    <x:row r="18">
      <x:c r="A18" s="35" t="inlineStr">
        <x:is>
          <x:t xml:space="preserve">Import &amp; enrich</x:t>
        </x:is>
      </x:c>
      <x:c r="B18" s="36" t="n">
        <x:v>16</x:v>
      </x:c>
      <x:c r="C18" s="36" t="inlineStr">
        <x:is>
          <x:t xml:space="preserve">Company scrape</x:t>
        </x:is>
      </x:c>
      <x:c r="D18" s="36" t="inlineStr">
        <x:is>
          <x:t xml:space="preserve">Apify company</x:t>
        </x:is>
      </x:c>
      <x:c r="E18" s="55" t="n">
        <x:f>Assumptions!$B$4</x:f>
        <x:v>0.004</x:v>
      </x:c>
      <x:c r="F18" s="38" t="n">
        <x:f>ROUND(E18/Assumptions!$B$13,2)</x:f>
        <x:v>0.08</x:v>
      </x:c>
      <x:c r="G18" s="36" t="inlineStr">
        <x:is>
          <x:t xml:space="preserve">Charge (in Lead enrich)</x:t>
        </x:is>
      </x:c>
    </x:row>
    <x:row r="19">
      <x:c r="A19" s="35" t="inlineStr">
        <x:is>
          <x:t xml:space="preserve">Import &amp; enrich</x:t>
        </x:is>
      </x:c>
      <x:c r="B19" s="36" t="n">
        <x:v>17</x:v>
      </x:c>
      <x:c r="C19" s="36" t="inlineStr">
        <x:is>
          <x:t xml:space="preserve">Company narrative + taxonomy</x:t>
        </x:is>
      </x:c>
      <x:c r="D19" s="36" t="inlineStr">
        <x:is>
          <x:t xml:space="preserve">Claude web search</x:t>
        </x:is>
      </x:c>
      <x:c r="E19" s="55" t="n">
        <x:f>Assumptions!$B$9</x:f>
        <x:v>0.015</x:v>
      </x:c>
      <x:c r="F19" s="38" t="n">
        <x:f>ROUND(E19/Assumptions!$B$13,2)</x:f>
        <x:v>0.3</x:v>
      </x:c>
      <x:c r="G19" s="36" t="inlineStr">
        <x:is>
          <x:t xml:space="preserve">Decide</x:t>
        </x:is>
      </x:c>
    </x:row>
    <x:row r="20">
      <x:c r="A20" s="35" t="inlineStr">
        <x:is>
          <x:t xml:space="preserve">Import &amp; enrich</x:t>
        </x:is>
      </x:c>
      <x:c r="B20" s="36" t="n">
        <x:v>18</x:v>
      </x:c>
      <x:c r="C20" s="36" t="inlineStr">
        <x:is>
          <x:t xml:space="preserve">Email validate</x:t>
        </x:is>
      </x:c>
      <x:c r="D20" s="36" t="inlineStr">
        <x:is>
          <x:t xml:space="preserve">ZeroBounce</x:t>
        </x:is>
      </x:c>
      <x:c r="E20" s="55" t="n">
        <x:f>Assumptions!$B$6</x:f>
        <x:v>0.005</x:v>
      </x:c>
      <x:c r="F20" s="38" t="n">
        <x:f>ROUND(E20/Assumptions!$B$13,2)</x:f>
        <x:v>0.1</x:v>
      </x:c>
      <x:c r="G20" s="36" t="inlineStr">
        <x:is>
          <x:t xml:space="preserve">Charge (if not Apollo-valid)</x:t>
        </x:is>
      </x:c>
    </x:row>
    <x:row r="21">
      <x:c r="A21" s="35" t="inlineStr">
        <x:is>
          <x:t xml:space="preserve">Import &amp; enrich</x:t>
        </x:is>
      </x:c>
      <x:c r="B21" s="36" t="n">
        <x:v>19</x:v>
      </x:c>
      <x:c r="C21" s="36" t="inlineStr">
        <x:is>
          <x:t xml:space="preserve">Readiness / fit recompute</x:t>
        </x:is>
      </x:c>
      <x:c r="D21" s="36" t="inlineStr">
        <x:is>
          <x:t xml:space="preserve">internal</x:t>
        </x:is>
      </x:c>
      <x:c r="E21" s="55" t="n">
        <x:f>0</x:f>
        <x:v>0</x:v>
      </x:c>
      <x:c r="F21" s="38" t="n">
        <x:f>ROUND(E21/Assumptions!$B$13,2)</x:f>
        <x:v>0</x:v>
      </x:c>
      <x:c r="G21" s="36" t="inlineStr">
        <x:is>
          <x:t xml:space="preserve">Free</x:t>
        </x:is>
      </x:c>
    </x:row>
    <x:row r="22">
      <x:c r="A22" s="35" t="inlineStr">
        <x:is>
          <x:t xml:space="preserve">Phone &amp; email</x:t>
        </x:is>
      </x:c>
      <x:c r="B22" s="36" t="n">
        <x:v>20</x:v>
      </x:c>
      <x:c r="C22" s="36" t="inlineStr">
        <x:is>
          <x:t xml:space="preserve">Phone reveal</x:t>
        </x:is>
      </x:c>
      <x:c r="D22" s="36" t="inlineStr">
        <x:is>
          <x:t xml:space="preserve">Apollo mobile (8 cr)</x:t>
        </x:is>
      </x:c>
      <x:c r="E22" s="55" t="n">
        <x:f>Assumptions!$B$3*Assumptions!$B$16</x:f>
        <x:v>0.16</x:v>
      </x:c>
      <x:c r="F22" s="38" t="n">
        <x:f>ROUND(E22/Assumptions!$B$13,2)</x:f>
        <x:v>3.2</x:v>
      </x:c>
      <x:c r="G22" s="36" t="inlineStr">
        <x:is>
          <x:t xml:space="preserve">Charge</x:t>
        </x:is>
      </x:c>
    </x:row>
    <x:row r="23">
      <x:c r="A23" s="35" t="inlineStr">
        <x:is>
          <x:t xml:space="preserve">Phone &amp; email</x:t>
        </x:is>
      </x:c>
      <x:c r="B23" s="36" t="n">
        <x:v>21</x:v>
      </x:c>
      <x:c r="C23" s="36" t="inlineStr">
        <x:is>
          <x:t xml:space="preserve">Email finder</x:t>
        </x:is>
      </x:c>
      <x:c r="D23" s="36" t="inlineStr">
        <x:is>
          <x:t xml:space="preserve">ZeroBounce finder (20 cr)</x:t>
        </x:is>
      </x:c>
      <x:c r="E23" s="55" t="n">
        <x:f>Assumptions!$B$7</x:f>
        <x:v>0.1</x:v>
      </x:c>
      <x:c r="F23" s="38" t="n">
        <x:f>ROUND(E23/Assumptions!$B$13,2)</x:f>
        <x:v>2</x:v>
      </x:c>
      <x:c r="G23" s="36" t="inlineStr">
        <x:is>
          <x:t xml:space="preserve">Charge</x:t>
        </x:is>
      </x:c>
    </x:row>
    <x:row r="24">
      <x:c r="A24" s="35" t="inlineStr">
        <x:is>
          <x:t xml:space="preserve">Net-new discovery (/data)</x:t>
        </x:is>
      </x:c>
      <x:c r="B24" s="36" t="n">
        <x:v>22</x:v>
      </x:c>
      <x:c r="C24" s="36" t="inlineStr">
        <x:is>
          <x:t xml:space="preserve">Company search</x:t>
        </x:is>
      </x:c>
      <x:c r="D24" s="36" t="inlineStr">
        <x:is>
          <x:t xml:space="preserve">Apollo search</x:t>
        </x:is>
      </x:c>
      <x:c r="E24" s="55" t="n">
        <x:f>Assumptions!$B$17</x:f>
        <x:v>0.004</x:v>
      </x:c>
      <x:c r="F24" s="38" t="n">
        <x:f>ROUND(E24/Assumptions!$B$13,2)</x:f>
        <x:v>0.08</x:v>
      </x:c>
      <x:c r="G24" s="36" t="inlineStr">
        <x:is>
          <x:t xml:space="preserve">in net-new bundle</x:t>
        </x:is>
      </x:c>
    </x:row>
    <x:row r="25">
      <x:c r="A25" s="35" t="inlineStr">
        <x:is>
          <x:t xml:space="preserve">Net-new discovery (/data)</x:t>
        </x:is>
      </x:c>
      <x:c r="B25" s="36" t="n">
        <x:v>23</x:v>
      </x:c>
      <x:c r="C25" s="36" t="inlineStr">
        <x:is>
          <x:t xml:space="preserve">People search</x:t>
        </x:is>
      </x:c>
      <x:c r="D25" s="36" t="inlineStr">
        <x:is>
          <x:t xml:space="preserve">Apollo search</x:t>
        </x:is>
      </x:c>
      <x:c r="E25" s="55" t="n">
        <x:f>Assumptions!$B$18</x:f>
        <x:v>0.002</x:v>
      </x:c>
      <x:c r="F25" s="38" t="n">
        <x:f>ROUND(E25/Assumptions!$B$13,2)</x:f>
        <x:v>0.04</x:v>
      </x:c>
      <x:c r="G25" s="36" t="inlineStr">
        <x:is>
          <x:t xml:space="preserve">in net-new bundle</x:t>
        </x:is>
      </x:c>
    </x:row>
    <x:row r="26">
      <x:c r="A26" s="35" t="inlineStr">
        <x:is>
          <x:t xml:space="preserve">Net-new discovery (/data)</x:t>
        </x:is>
      </x:c>
      <x:c r="B26" s="36" t="n">
        <x:v>24</x:v>
      </x:c>
      <x:c r="C26" s="36" t="inlineStr">
        <x:is>
          <x:t xml:space="preserve">Candidate fit-screen</x:t>
        </x:is>
      </x:c>
      <x:c r="D26" s="36" t="inlineStr">
        <x:is>
          <x:t xml:space="preserve">Haiku</x:t>
        </x:is>
      </x:c>
      <x:c r="E26" s="55" t="n">
        <x:f>Assumptions!$B$8</x:f>
        <x:v>0.003</x:v>
      </x:c>
      <x:c r="F26" s="38" t="n">
        <x:f>ROUND(E26/Assumptions!$B$13,2)</x:f>
        <x:v>0.06</x:v>
      </x:c>
      <x:c r="G26" s="36" t="inlineStr">
        <x:is>
          <x:t xml:space="preserve">in net-new bundle</x:t>
        </x:is>
      </x:c>
    </x:row>
    <x:row r="27">
      <x:c r="A27" s="35" t="inlineStr">
        <x:is>
          <x:t xml:space="preserve">Net-new discovery (/data)</x:t>
        </x:is>
      </x:c>
      <x:c r="B27" s="36" t="n">
        <x:v>25</x:v>
      </x:c>
      <x:c r="C27" s="36" t="inlineStr">
        <x:is>
          <x:t xml:space="preserve">Company enrich</x:t>
        </x:is>
      </x:c>
      <x:c r="D27" s="36" t="inlineStr">
        <x:is>
          <x:t xml:space="preserve">Apollo org</x:t>
        </x:is>
      </x:c>
      <x:c r="E27" s="55" t="n">
        <x:f>Assumptions!$B$3</x:f>
        <x:v>0.02</x:v>
      </x:c>
      <x:c r="F27" s="38" t="n">
        <x:f>ROUND(E27/Assumptions!$B$13,2)</x:f>
        <x:v>0.4</x:v>
      </x:c>
      <x:c r="G27" s="36" t="inlineStr">
        <x:is>
          <x:t xml:space="preserve">in net-new bundle</x:t>
        </x:is>
      </x:c>
    </x:row>
    <x:row r="28">
      <x:c r="A28" s="35" t="inlineStr">
        <x:is>
          <x:t xml:space="preserve">Net-new discovery (/data)</x:t>
        </x:is>
      </x:c>
      <x:c r="B28" s="36" t="n">
        <x:v>26</x:v>
      </x:c>
      <x:c r="C28" s="36" t="inlineStr">
        <x:is>
          <x:t xml:space="preserve">Person enrich</x:t>
        </x:is>
      </x:c>
      <x:c r="D28" s="36" t="inlineStr">
        <x:is>
          <x:t xml:space="preserve">Apollo person</x:t>
        </x:is>
      </x:c>
      <x:c r="E28" s="55" t="n">
        <x:f>Assumptions!$B$3</x:f>
        <x:v>0.02</x:v>
      </x:c>
      <x:c r="F28" s="38" t="n">
        <x:f>ROUND(E28/Assumptions!$B$13,2)</x:f>
        <x:v>0.4</x:v>
      </x:c>
      <x:c r="G28" s="36" t="inlineStr">
        <x:is>
          <x:t xml:space="preserve">in net-new bundle</x:t>
        </x:is>
      </x:c>
    </x:row>
    <x:row r="29">
      <x:c r="A29" s="35" t="inlineStr">
        <x:is>
          <x:t xml:space="preserve">Net-new discovery (/data)</x:t>
        </x:is>
      </x:c>
      <x:c r="B29" s="36" t="n">
        <x:v>27</x:v>
      </x:c>
      <x:c r="C29" s="36" t="inlineStr">
        <x:is>
          <x:t xml:space="preserve">Profile + company scrape</x:t>
        </x:is>
      </x:c>
      <x:c r="D29" s="36" t="inlineStr">
        <x:is>
          <x:t xml:space="preserve">Apify</x:t>
        </x:is>
      </x:c>
      <x:c r="E29" s="55" t="n">
        <x:f>Assumptions!$B$4*2</x:f>
        <x:v>0.008</x:v>
      </x:c>
      <x:c r="F29" s="38" t="n">
        <x:f>ROUND(E29/Assumptions!$B$13,2)</x:f>
        <x:v>0.16</x:v>
      </x:c>
      <x:c r="G29" s="36" t="inlineStr">
        <x:is>
          <x:t xml:space="preserve">in net-new bundle</x:t>
        </x:is>
      </x:c>
    </x:row>
    <x:row r="30">
      <x:c r="A30" s="35" t="inlineStr">
        <x:is>
          <x:t xml:space="preserve">Net-new discovery (/data)</x:t>
        </x:is>
      </x:c>
      <x:c r="B30" s="36" t="n">
        <x:v>28</x:v>
      </x:c>
      <x:c r="C30" s="36" t="inlineStr">
        <x:is>
          <x:t xml:space="preserve">Email validate</x:t>
        </x:is>
      </x:c>
      <x:c r="D30" s="36" t="inlineStr">
        <x:is>
          <x:t xml:space="preserve">ZeroBounce</x:t>
        </x:is>
      </x:c>
      <x:c r="E30" s="55" t="n">
        <x:f>Assumptions!$B$6</x:f>
        <x:v>0.005</x:v>
      </x:c>
      <x:c r="F30" s="38" t="n">
        <x:f>ROUND(E30/Assumptions!$B$13,2)</x:f>
        <x:v>0.1</x:v>
      </x:c>
      <x:c r="G30" s="36" t="inlineStr">
        <x:is>
          <x:t xml:space="preserve">in net-new bundle</x:t>
        </x:is>
      </x:c>
    </x:row>
    <x:row r="31">
      <x:c r="A31" s="35" t="inlineStr">
        <x:is>
          <x:t xml:space="preserve">Ongoing monitoring (crons)</x:t>
        </x:is>
      </x:c>
      <x:c r="B31" s="36" t="n">
        <x:v>29</x:v>
      </x:c>
      <x:c r="C31" s="36" t="inlineStr">
        <x:is>
          <x:t xml:space="preserve">Job-change sweep</x:t>
        </x:is>
      </x:c>
      <x:c r="D31" s="36" t="inlineStr">
        <x:is>
          <x:t xml:space="preserve">Apify profile</x:t>
        </x:is>
      </x:c>
      <x:c r="E31" s="55" t="n">
        <x:f>Assumptions!$B$4</x:f>
        <x:v>0.004</x:v>
      </x:c>
      <x:c r="F31" s="38" t="n">
        <x:f>ROUND(E31/Assumptions!$B$13,2)</x:f>
        <x:v>0.08</x:v>
      </x:c>
      <x:c r="G31" s="36" t="inlineStr">
        <x:is>
          <x:t xml:space="preserve">Decide</x:t>
        </x:is>
      </x:c>
    </x:row>
    <x:row r="32">
      <x:c r="A32" s="35" t="inlineStr">
        <x:is>
          <x:t xml:space="preserve">Ongoing monitoring (crons)</x:t>
        </x:is>
      </x:c>
      <x:c r="B32" s="36" t="n">
        <x:v>30</x:v>
      </x:c>
      <x:c r="C32" s="36" t="inlineStr">
        <x:is>
          <x:t xml:space="preserve">Title-change detect</x:t>
        </x:is>
      </x:c>
      <x:c r="D32" s="36" t="inlineStr">
        <x:is>
          <x:t xml:space="preserve">(same sweep)</x:t>
        </x:is>
      </x:c>
      <x:c r="E32" s="55" t="n">
        <x:f>0</x:f>
        <x:v>0</x:v>
      </x:c>
      <x:c r="F32" s="38" t="n">
        <x:f>ROUND(E32/Assumptions!$B$13,2)</x:f>
        <x:v>0</x:v>
      </x:c>
      <x:c r="G32" s="36" t="inlineStr">
        <x:is>
          <x:t xml:space="preserve">Decide</x:t>
        </x:is>
      </x:c>
    </x:row>
    <x:row r="33">
      <x:c r="A33" s="35" t="inlineStr">
        <x:is>
          <x:t xml:space="preserve">Ongoing monitoring (crons)</x:t>
        </x:is>
      </x:c>
      <x:c r="B33" s="36" t="n">
        <x:v>31</x:v>
      </x:c>
      <x:c r="C33" s="36" t="inlineStr">
        <x:is>
          <x:t xml:space="preserve">Hiring monitor</x:t>
        </x:is>
      </x:c>
      <x:c r="D33" s="36" t="inlineStr">
        <x:is>
          <x:t xml:space="preserve">Apify jobs scraper</x:t>
        </x:is>
      </x:c>
      <x:c r="E33" s="55" t="n">
        <x:f>Assumptions!$B$4</x:f>
        <x:v>0.004</x:v>
      </x:c>
      <x:c r="F33" s="38" t="n">
        <x:f>ROUND(E33/Assumptions!$B$13,2)</x:f>
        <x:v>0.08</x:v>
      </x:c>
      <x:c r="G33" s="36" t="inlineStr">
        <x:is>
          <x:t xml:space="preserve">Decide</x:t>
        </x:is>
      </x:c>
    </x:row>
    <x:row r="34">
      <x:c r="A34" s="35" t="inlineStr">
        <x:is>
          <x:t xml:space="preserve">Ongoing monitoring (crons)</x:t>
        </x:is>
      </x:c>
      <x:c r="B34" s="36" t="n">
        <x:v>32</x:v>
      </x:c>
      <x:c r="C34" s="36" t="inlineStr">
        <x:is>
          <x:t xml:space="preserve">Job-change knock-on re-enrich</x:t>
        </x:is>
      </x:c>
      <x:c r="D34" s="36" t="inlineStr">
        <x:is>
          <x:t xml:space="preserve">Apollo + Apify</x:t>
        </x:is>
      </x:c>
      <x:c r="E34" s="55" t="n">
        <x:f>Assumptions!$B$3*2+Assumptions!$B$4*2</x:f>
        <x:v>0.048</x:v>
      </x:c>
      <x:c r="F34" s="38" t="n">
        <x:f>ROUND(E34/Assumptions!$B$13,2)</x:f>
        <x:v>0.96</x:v>
      </x:c>
      <x:c r="G34" s="36" t="inlineStr">
        <x:is>
          <x:t xml:space="preserve">Decide</x:t>
        </x:is>
      </x:c>
    </x:row>
    <x:row r="35">
      <x:c r="A35" s="35" t="inlineStr">
        <x:is>
          <x:t xml:space="preserve">Ongoing monitoring (crons)</x:t>
        </x:is>
      </x:c>
      <x:c r="B35" s="36" t="n">
        <x:v>33</x:v>
      </x:c>
      <x:c r="C35" s="36" t="inlineStr">
        <x:is>
          <x:t xml:space="preserve">Re-enrichment queue (refresh)</x:t>
        </x:is>
      </x:c>
      <x:c r="D35" s="36" t="inlineStr">
        <x:is>
          <x:t xml:space="preserve">Apollo + Apify + ZB</x:t>
        </x:is>
      </x:c>
      <x:c r="E35" s="55" t="n">
        <x:f>Assumptions!$B$3*2+Assumptions!$B$4*2+Assumptions!$B$6</x:f>
        <x:v>0.053</x:v>
      </x:c>
      <x:c r="F35" s="38" t="n">
        <x:f>ROUND(E35/Assumptions!$B$13,2)</x:f>
        <x:v>1.06</x:v>
      </x:c>
      <x:c r="G35" s="36" t="inlineStr">
        <x:is>
          <x:t xml:space="preserve">Decide</x:t>
        </x:is>
      </x:c>
    </x:row>
    <x:row r="36">
      <x:c r="A36" s="35" t="inlineStr">
        <x:is>
          <x:t xml:space="preserve">Ongoing monitoring (crons)</x:t>
        </x:is>
      </x:c>
      <x:c r="B36" s="36" t="n">
        <x:v>34</x:v>
      </x:c>
      <x:c r="C36" s="36" t="inlineStr">
        <x:is>
          <x:t xml:space="preserve">Funding-stage LLM confirm</x:t>
        </x:is>
      </x:c>
      <x:c r="D36" s="36" t="inlineStr">
        <x:is>
          <x:t xml:space="preserve">Claude web search</x:t>
        </x:is>
      </x:c>
      <x:c r="E36" s="55" t="n">
        <x:f>Assumptions!$B$9</x:f>
        <x:v>0.015</x:v>
      </x:c>
      <x:c r="F36" s="38" t="n">
        <x:f>ROUND(E36/Assumptions!$B$13,2)</x:f>
        <x:v>0.3</x:v>
      </x:c>
      <x:c r="G36" s="36" t="inlineStr">
        <x:is>
          <x:t xml:space="preserve">Decide</x:t>
        </x:is>
      </x:c>
    </x:row>
    <x:row r="37">
      <x:c r="A37" s="35" t="inlineStr">
        <x:is>
          <x:t xml:space="preserve">Ongoing monitoring (crons)</x:t>
        </x:is>
      </x:c>
      <x:c r="B37" s="36" t="n">
        <x:v>35</x:v>
      </x:c>
      <x:c r="C37" s="36" t="inlineStr">
        <x:is>
          <x:t xml:space="preserve">Press-release classify</x:t>
        </x:is>
      </x:c>
      <x:c r="D37" s="36" t="inlineStr">
        <x:is>
          <x:t xml:space="preserve">Haiku</x:t>
        </x:is>
      </x:c>
      <x:c r="E37" s="55" t="n">
        <x:f>Assumptions!$B$20</x:f>
        <x:v>0.0005</x:v>
      </x:c>
      <x:c r="F37" s="38" t="n">
        <x:f>ROUND(E37/Assumptions!$B$13,2)</x:f>
        <x:v>0.01</x:v>
      </x:c>
      <x:c r="G37" s="36" t="inlineStr">
        <x:is>
          <x:t xml:space="preserve">Decide</x:t>
        </x:is>
      </x:c>
    </x:row>
    <x:row r="38">
      <x:c r="A38" s="35" t="inlineStr">
        <x:is>
          <x:t xml:space="preserve">Public-data signal sync</x:t>
        </x:is>
      </x:c>
      <x:c r="B38" s="36" t="n">
        <x:v>36</x:v>
      </x:c>
      <x:c r="C38" s="36" t="inlineStr">
        <x:is>
          <x:t xml:space="preserve">Patents-delta</x:t>
        </x:is>
      </x:c>
      <x:c r="D38" s="36" t="inlineStr">
        <x:is>
          <x:t xml:space="preserve">BigQuery mirror</x:t>
        </x:is>
      </x:c>
      <x:c r="E38" s="55" t="n">
        <x:f>0</x:f>
        <x:v>0</x:v>
      </x:c>
      <x:c r="F38" s="38" t="n">
        <x:f>ROUND(E38/Assumptions!$B$13,2)</x:f>
        <x:v>0</x:v>
      </x:c>
      <x:c r="G38" s="36" t="inlineStr">
        <x:is>
          <x:t xml:space="preserve">Free</x:t>
        </x:is>
      </x:c>
    </x:row>
    <x:row r="39">
      <x:c r="A39" s="35" t="inlineStr">
        <x:is>
          <x:t xml:space="preserve">Public-data signal sync</x:t>
        </x:is>
      </x:c>
      <x:c r="B39" s="36" t="n">
        <x:v>37</x:v>
      </x:c>
      <x:c r="C39" s="36" t="inlineStr">
        <x:is>
          <x:t xml:space="preserve">FDA-delta</x:t>
        </x:is>
      </x:c>
      <x:c r="D39" s="36" t="inlineStr">
        <x:is>
          <x:t xml:space="preserve">openFDA</x:t>
        </x:is>
      </x:c>
      <x:c r="E39" s="55" t="n">
        <x:f>0</x:f>
        <x:v>0</x:v>
      </x:c>
      <x:c r="F39" s="38" t="n">
        <x:f>ROUND(E39/Assumptions!$B$13,2)</x:f>
        <x:v>0</x:v>
      </x:c>
      <x:c r="G39" s="36" t="inlineStr">
        <x:is>
          <x:t xml:space="preserve">Free</x:t>
        </x:is>
      </x:c>
    </x:row>
    <x:row r="40">
      <x:c r="A40" s="35" t="inlineStr">
        <x:is>
          <x:t xml:space="preserve">Public-data signal sync</x:t>
        </x:is>
      </x:c>
      <x:c r="B40" s="36" t="n">
        <x:v>38</x:v>
      </x:c>
      <x:c r="C40" s="36" t="inlineStr">
        <x:is>
          <x:t xml:space="preserve">Clinical-trials-delta</x:t>
        </x:is>
      </x:c>
      <x:c r="D40" s="36" t="inlineStr">
        <x:is>
          <x:t xml:space="preserve">ClinicalTrials.gov</x:t>
        </x:is>
      </x:c>
      <x:c r="E40" s="55" t="n">
        <x:f>0</x:f>
        <x:v>0</x:v>
      </x:c>
      <x:c r="F40" s="38" t="n">
        <x:f>ROUND(E40/Assumptions!$B$13,2)</x:f>
        <x:v>0</x:v>
      </x:c>
      <x:c r="G40" s="36" t="inlineStr">
        <x:is>
          <x:t xml:space="preserve">Free</x:t>
        </x:is>
      </x:c>
    </x:row>
    <x:row r="41">
      <x:c r="A41" s="35" t="inlineStr">
        <x:is>
          <x:t xml:space="preserve">Public-data signal sync</x:t>
        </x:is>
      </x:c>
      <x:c r="B41" s="36" t="n">
        <x:v>39</x:v>
      </x:c>
      <x:c r="C41" s="36" t="inlineStr">
        <x:is>
          <x:t xml:space="preserve">Funding-delta</x:t>
        </x:is>
      </x:c>
      <x:c r="D41" s="36" t="inlineStr">
        <x:is>
          <x:t xml:space="preserve">SEC EDGAR</x:t>
        </x:is>
      </x:c>
      <x:c r="E41" s="55" t="n">
        <x:f>0</x:f>
        <x:v>0</x:v>
      </x:c>
      <x:c r="F41" s="38" t="n">
        <x:f>ROUND(E41/Assumptions!$B$13,2)</x:f>
        <x:v>0</x:v>
      </x:c>
      <x:c r="G41" s="36" t="inlineStr">
        <x:is>
          <x:t xml:space="preserve">Free</x:t>
        </x:is>
      </x:c>
    </x:row>
    <x:row r="42">
      <x:c r="A42" s="35" t="inlineStr">
        <x:is>
          <x:t xml:space="preserve">Public-data signal sync</x:t>
        </x:is>
      </x:c>
      <x:c r="B42" s="36" t="n">
        <x:v>40</x:v>
      </x:c>
      <x:c r="C42" s="36" t="inlineStr">
        <x:is>
          <x:t xml:space="preserve">Grants-delta</x:t>
        </x:is>
      </x:c>
      <x:c r="D42" s="36" t="inlineStr">
        <x:is>
          <x:t xml:space="preserve">NIH Reporter</x:t>
        </x:is>
      </x:c>
      <x:c r="E42" s="55" t="n">
        <x:f>0</x:f>
        <x:v>0</x:v>
      </x:c>
      <x:c r="F42" s="38" t="n">
        <x:f>ROUND(E42/Assumptions!$B$13,2)</x:f>
        <x:v>0</x:v>
      </x:c>
      <x:c r="G42" s="36" t="inlineStr">
        <x:is>
          <x:t xml:space="preserve">Free</x:t>
        </x:is>
      </x:c>
    </x:row>
    <x:row r="43">
      <x:c r="A43" s="35" t="inlineStr">
        <x:is>
          <x:t xml:space="preserve">Public-data signal sync</x:t>
        </x:is>
      </x:c>
      <x:c r="B43" s="36" t="n">
        <x:v>41</x:v>
      </x:c>
      <x:c r="C43" s="36" t="inlineStr">
        <x:is>
          <x:t xml:space="preserve">Press-releases-delta</x:t>
        </x:is>
      </x:c>
      <x:c r="D43" s="36" t="inlineStr">
        <x:is>
          <x:t xml:space="preserve">RSS feeds</x:t>
        </x:is>
      </x:c>
      <x:c r="E43" s="55" t="n">
        <x:f>0</x:f>
        <x:v>0</x:v>
      </x:c>
      <x:c r="F43" s="38" t="n">
        <x:f>ROUND(E43/Assumptions!$B$13,2)</x:f>
        <x:v>0</x:v>
      </x:c>
      <x:c r="G43" s="36" t="inlineStr">
        <x:is>
          <x:t xml:space="preserve">Free</x:t>
        </x:is>
      </x:c>
    </x:row>
    <x:row r="44">
      <x:c r="A44" s="35" t="inlineStr">
        <x:is>
          <x:t xml:space="preserve">Public-data signal sync</x:t>
        </x:is>
      </x:c>
      <x:c r="B44" s="36" t="n">
        <x:v>42</x:v>
      </x:c>
      <x:c r="C44" s="36" t="inlineStr">
        <x:is>
          <x:t xml:space="preserve">Conferences-delta</x:t>
        </x:is>
      </x:c>
      <x:c r="D44" s="36" t="inlineStr">
        <x:is>
          <x:t xml:space="preserve">public</x:t>
        </x:is>
      </x:c>
      <x:c r="E44" s="55" t="n">
        <x:f>0</x:f>
        <x:v>0</x:v>
      </x:c>
      <x:c r="F44" s="38" t="n">
        <x:f>ROUND(E44/Assumptions!$B$13,2)</x:f>
        <x:v>0</x:v>
      </x:c>
      <x:c r="G44" s="36" t="inlineStr">
        <x:is>
          <x:t xml:space="preserve">Free</x:t>
        </x:is>
      </x:c>
    </x:row>
    <x:row r="45">
      <x:c r="A45" s="35" t="inlineStr">
        <x:is>
          <x:t xml:space="preserve">CRM / outreach sync &amp; agent (LLM)</x:t>
        </x:is>
      </x:c>
      <x:c r="B45" s="36" t="n">
        <x:v>43</x:v>
      </x:c>
      <x:c r="C45" s="36" t="inlineStr">
        <x:is>
          <x:t xml:space="preserve">HubSpot daily push+pull</x:t>
        </x:is>
      </x:c>
      <x:c r="D45" s="36" t="inlineStr">
        <x:is>
          <x:t xml:space="preserve">Nango</x:t>
        </x:is>
      </x:c>
      <x:c r="E45" s="55" t="n">
        <x:f>0</x:f>
        <x:v>0</x:v>
      </x:c>
      <x:c r="F45" s="38" t="n">
        <x:f>ROUND(E45/Assumptions!$B$13,2)</x:f>
        <x:v>0</x:v>
      </x:c>
      <x:c r="G45" s="36" t="inlineStr">
        <x:is>
          <x:t xml:space="preserve">Free</x:t>
        </x:is>
      </x:c>
    </x:row>
    <x:row r="46">
      <x:c r="A46" s="35" t="inlineStr">
        <x:is>
          <x:t xml:space="preserve">CRM / outreach sync &amp; agent (LLM)</x:t>
        </x:is>
      </x:c>
      <x:c r="B46" s="36" t="n">
        <x:v>44</x:v>
      </x:c>
      <x:c r="C46" s="36" t="inlineStr">
        <x:is>
          <x:t xml:space="preserve">Lemlist sync</x:t>
        </x:is>
      </x:c>
      <x:c r="D46" s="36" t="inlineStr">
        <x:is>
          <x:t xml:space="preserve">Lemlist API</x:t>
        </x:is>
      </x:c>
      <x:c r="E46" s="55" t="n">
        <x:f>0</x:f>
        <x:v>0</x:v>
      </x:c>
      <x:c r="F46" s="38" t="n">
        <x:f>ROUND(E46/Assumptions!$B$13,2)</x:f>
        <x:v>0</x:v>
      </x:c>
      <x:c r="G46" s="36" t="inlineStr">
        <x:is>
          <x:t xml:space="preserve">Free</x:t>
        </x:is>
      </x:c>
    </x:row>
    <x:row r="47">
      <x:c r="A47" s="35" t="inlineStr">
        <x:is>
          <x:t xml:space="preserve">CRM / outreach sync &amp; agent (LLM)</x:t>
        </x:is>
      </x:c>
      <x:c r="B47" s="36" t="n">
        <x:v>45</x:v>
      </x:c>
      <x:c r="C47" s="36" t="inlineStr">
        <x:is>
          <x:t xml:space="preserve">Side-panel agent turn</x:t>
        </x:is>
      </x:c>
      <x:c r="D47" s="36" t="inlineStr">
        <x:is>
          <x:t xml:space="preserve">Haiku-led</x:t>
        </x:is>
      </x:c>
      <x:c r="E47" s="55" t="n">
        <x:f>Assumptions!$B$21</x:f>
        <x:v>0.012</x:v>
      </x:c>
      <x:c r="F47" s="38" t="n">
        <x:f>ROUND(E47/Assumptions!$B$13,2)</x:f>
        <x:v>0.24</x:v>
      </x:c>
      <x:c r="G47" s="36" t="inlineStr">
        <x:is>
          <x:t xml:space="preserve">Decide (fair-use)</x:t>
        </x:is>
      </x:c>
    </x:row>
    <x:row r="48">
      <x:c r="A48" s="35" t="inlineStr">
        <x:is>
          <x:t xml:space="preserve">CRM / outreach sync &amp; agent (LLM)</x:t>
        </x:is>
      </x:c>
      <x:c r="B48" s="36" t="n">
        <x:v>46</x:v>
      </x:c>
      <x:c r="C48" s="36" t="inlineStr">
        <x:is>
          <x:t xml:space="preserve">Central agent turn</x:t>
        </x:is>
      </x:c>
      <x:c r="D48" s="36" t="inlineStr">
        <x:is>
          <x:t xml:space="preserve">Haiku / Sonnet</x:t>
        </x:is>
      </x:c>
      <x:c r="E48" s="55" t="n">
        <x:f>Assumptions!$B$22</x:f>
        <x:v>0.02</x:v>
      </x:c>
      <x:c r="F48" s="38" t="n">
        <x:f>ROUND(E48/Assumptions!$B$13,2)</x:f>
        <x:v>0.4</x:v>
      </x:c>
      <x:c r="G48" s="36" t="inlineStr">
        <x:is>
          <x:t xml:space="preserve">Decide (fair-use)</x:t>
        </x:is>
      </x:c>
    </x:row>
    <x:row r="49">
      <x:c r="A49" s="35" t="inlineStr">
        <x:is>
          <x:t xml:space="preserve">CRM / outreach sync &amp; agent (LLM)</x:t>
        </x:is>
      </x:c>
      <x:c r="B49" s="36" t="n">
        <x:v>47</x:v>
      </x:c>
      <x:c r="C49" s="36" t="inlineStr">
        <x:is>
          <x:t xml:space="preserve">Outreach sequence generation</x:t>
        </x:is>
      </x:c>
      <x:c r="D49" s="36" t="inlineStr">
        <x:is>
          <x:t xml:space="preserve">Sonnet + web search</x:t>
        </x:is>
      </x:c>
      <x:c r="E49" s="55" t="n">
        <x:f>Assumptions!$B$10</x:f>
        <x:v>0.04</x:v>
      </x:c>
      <x:c r="F49" s="38" t="n">
        <x:f>ROUND(E49/Assumptions!$B$13,2)</x:f>
        <x:v>0.8</x:v>
      </x:c>
      <x:c r="G49" s="36" t="inlineStr">
        <x:is>
          <x:t xml:space="preserve">Decide</x:t>
        </x:is>
      </x:c>
    </x:row>
    <x:row r="50">
      <x:c r="A50" s="17" t="inlineStr">
        <x:is>
          <x:t xml:space="preserve">Net-new discovery (/data)</x:t>
        </x:is>
      </x:c>
      <x:c r="B50" s="17" t="inlineStr">
        <x:is>
          <x:t xml:space="preserve">=</x:t>
        </x:is>
      </x:c>
      <x:c r="C50" s="17" t="inlineStr">
        <x:is>
          <x:t xml:space="preserve">NET-NEW LEAD (bundle)</x:t>
        </x:is>
      </x:c>
      <x:c r="D50" s="17" t="inlineStr">
        <x:is>
          <x:t xml:space="preserve">search+enrich+validate</x:t>
        </x:is>
      </x:c>
      <x:c r="E50" s="56" t="n">
        <x:f>Bundles!$B$23</x:f>
        <x:v>0.0476</x:v>
      </x:c>
      <x:c r="F50" s="17" t="inlineStr">
        <x:is>
          <x:t xml:space="preserve">—</x:t>
        </x:is>
      </x:c>
      <x:c r="G50" s="17" t="inlineStr">
        <x:is>
          <x:t xml:space="preserve">Charge — premium ($1.00 / lead)</x:t>
        </x:is>
      </x:c>
    </x:row>
  </x:sheetData>
  <x:pageMargins left="0.7" right="0.7" top="0.75" bottom="0.75" header="0.3" footer="0.3"/>
</x:worksheet>
</file>