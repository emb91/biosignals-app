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68ee7b928945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9e5321fbc2b340f0"/>
    <x:sheet xmlns:r="http://schemas.openxmlformats.org/officeDocument/2006/relationships" name="Action Credits" sheetId="2" r:id="R7052761d594e4a8e"/>
    <x:sheet xmlns:r="http://schemas.openxmlformats.org/officeDocument/2006/relationships" name="Tier Model" sheetId="3" r:id="R65ec501a6cec4ebf"/>
    <x:sheet xmlns:r="http://schemas.openxmlformats.org/officeDocument/2006/relationships" name="Tier Entitlements" sheetId="4" r:id="R3115d88fc7274b20"/>
    <x:sheet xmlns:r="http://schemas.openxmlformats.org/officeDocument/2006/relationships" name="Scenario Model" sheetId="5" r:id="R9120ff0a162c49b0"/>
    <x:sheet xmlns:r="http://schemas.openxmlformats.org/officeDocument/2006/relationships" name="API Touchpoints" sheetId="6" r:id="R64c9756975694639"/>
    <x:sheet xmlns:r="http://schemas.openxmlformats.org/officeDocument/2006/relationships" name="Sensitivity" sheetId="7" r:id="R1752e155a4ae45e4"/>
    <x:sheet xmlns:r="http://schemas.openxmlformats.org/officeDocument/2006/relationships" name="Implementation Rules" sheetId="8" r:id="R81dc423578404739"/>
    <x:sheet xmlns:r="http://schemas.openxmlformats.org/officeDocument/2006/relationships" name="Sources" sheetId="9" r:id="R32a64cebe1ab4a05"/>
    <x:sheet xmlns:r="http://schemas.openxmlformats.org/officeDocument/2006/relationships" name="Checks" sheetId="10" r:id="R19cfa8579af44570"/>
    <x:sheet xmlns:r="http://schemas.openxmlformats.org/officeDocument/2006/relationships" name="Dashboard" sheetId="11" r:id="Rfd55368581ce49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$0.000"/>
    <x:numFmt numFmtId="201" formatCode="$0.0000"/>
    <x:numFmt numFmtId="202" formatCode="0.0"/>
    <x:numFmt numFmtId="203" formatCode="$0.00"/>
    <x:numFmt numFmtId="204" formatCode="0.0%"/>
    <x:numFmt numFmtId="205" formatCode="$#,##0"/>
    <x:numFmt numFmtId="206" formatCode="#,##0"/>
    <x:numFmt numFmtId="207" formatCode="$#,##0.00"/>
    <x:numFmt numFmtId="208" formatCode="#,##0 &quot;monitored&quot;"/>
    <x:numFmt numFmtId="209" formatCode="0%"/>
    <x:numFmt numFmtId="210" formatCode="0.00"/>
  </x:numFmts>
  <x:fonts count="2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67B84"/>
      <x:name val="Carlito"/>
    </x:font>
    <x:font>
      <x:b/>
      <x:sz val="11"/>
      <x:color rgb="FFFFFFFF"/>
      <x:name val="Carlito"/>
    </x:font>
    <x:font>
      <x:sz val="11"/>
      <x:color rgb="FF18323D"/>
      <x:name val="Carlito"/>
    </x:font>
    <x:font>
      <x:sz val="11"/>
      <x:color rgb="FF0000FF"/>
      <x:name val="Carlito"/>
    </x:font>
    <x:font>
      <x:b/>
      <x:sz val="11"/>
      <x:color rgb="FF0D3547"/>
      <x:name val="Carlito"/>
    </x:font>
    <x:font>
      <x:b/>
      <x:sz val="12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  <x:font>
      <x:i/>
      <x:sz val="10"/>
      <x:color rgb="FF667B84"/>
      <x:name val="Aptos"/>
    </x:font>
    <x:font>
      <x:sz val="10"/>
      <x:color rgb="FF18323D"/>
      <x:name val="Aptos"/>
    </x:font>
    <x:font>
      <x:sz val="10"/>
      <x:color rgb="FF0000FF"/>
      <x:name val="Aptos"/>
    </x:font>
    <x:font>
      <x:b/>
      <x:sz val="10"/>
      <x:color rgb="FF0D3547"/>
      <x:name val="Aptos"/>
    </x:font>
    <x:font>
      <x:b/>
      <x:sz val="12"/>
      <x:color rgb="FFFFFFFF"/>
      <x:name val="Aptos"/>
    </x:font>
    <x:font>
      <x:b/>
      <x:sz val="10"/>
      <x:color rgb="FF000000"/>
      <x:name val="Aptos"/>
    </x:font>
    <x:font>
      <x:b/>
      <x:sz val="10"/>
      <x:name val="Aptos"/>
    </x:font>
    <x:font>
      <x:i/>
      <x:sz val="10"/>
      <x:color rgb="FF7F6000"/>
      <x:name val="Aptos"/>
    </x:font>
    <x:font>
      <x:sz val="10"/>
      <x:color rgb="FF7F6000"/>
      <x:name val="Aptos"/>
    </x:font>
    <x:font>
      <x:b/>
      <x:sz val="10"/>
      <x:color rgb="FF7F6000"/>
      <x:name val="Aptos"/>
    </x:font>
  </x:fonts>
  <x:fills count="13">
    <x:fill>
      <x:patternFill patternType="none"/>
    </x:fill>
    <x:fill>
      <x:patternFill patternType="gray125"/>
    </x:fill>
    <x:fill>
      <x:patternFill patternType="solid">
        <x:fgColor rgb="FF0D3547"/>
      </x:patternFill>
    </x:fill>
    <x:fill>
      <x:patternFill patternType="solid">
        <x:fgColor rgb="FFEAF4F7"/>
      </x:patternFill>
    </x:fill>
    <x:fill>
      <x:patternFill patternType="solid">
        <x:fgColor rgb="FF1F7A7A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DDEEEE"/>
      </x:patternFill>
    </x:fill>
    <x:fill>
      <x:patternFill patternType="solid">
        <x:fgColor rgb="FFFCE8E6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21">
    <x:border/>
    <x:border>
      <x:left style="thin">
        <x:color rgb="FFCDDADD"/>
      </x:left>
      <x:top style="thin">
        <x:color rgb="FFCDDADD"/>
      </x:top>
      <x:bottom style="thin">
        <x:color rgb="FFCDDADD"/>
      </x:bottom>
    </x:border>
    <x:border>
      <x:top style="thin">
        <x:color rgb="FFCDDADD"/>
      </x:top>
      <x:bottom style="thin">
        <x:color rgb="FFCDDADD"/>
      </x:bottom>
    </x:border>
    <x:border>
      <x:right style="thin">
        <x:color rgb="FFCDDADD"/>
      </x:right>
      <x:top style="thin">
        <x:color rgb="FFCDDADD"/>
      </x:top>
      <x:bottom style="thin">
        <x:color rgb="FFCDDADD"/>
      </x:bottom>
    </x:border>
    <x:border>
      <x:left style="thin">
        <x:color rgb="FFCDDADD"/>
      </x:left>
      <x:top style="thin">
        <x:color rgb="FFCDDADD"/>
      </x:top>
    </x:border>
    <x:border>
      <x:top style="thin">
        <x:color rgb="FFCDDADD"/>
      </x:top>
    </x:border>
    <x:border>
      <x:right style="thin">
        <x:color rgb="FFCDDADD"/>
      </x:right>
      <x:top style="thin">
        <x:color rgb="FFCDDADD"/>
      </x:top>
    </x:border>
    <x:border>
      <x:left style="thin">
        <x:color rgb="FFCDDADD"/>
      </x:left>
      <x:bottom style="thin">
        <x:color rgb="FFCDDADD"/>
      </x:bottom>
    </x:border>
    <x:border>
      <x:bottom style="thin">
        <x:color rgb="FFCDDADD"/>
      </x:bottom>
    </x:border>
    <x:border>
      <x:right style="thin">
        <x:color rgb="FFCDDADD"/>
      </x:right>
      <x:bottom style="thin">
        <x:color rgb="FFCDDADD"/>
      </x:bottom>
    </x:border>
    <x:border>
      <x:left style="thin">
        <x:color rgb="FFCDDADD"/>
      </x:left>
    </x:border>
    <x:border>
      <x:right style="thin">
        <x:color rgb="FFCDDADD"/>
      </x:right>
    </x:border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2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0" fontId="4" fillId="5" borderId="9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vertical="top" wrapText="1"/>
    </x:xf>
    <x:xf numFmtId="0" fontId="4" fillId="5" borderId="5" xfId="0" applyNumberFormat="1" applyFont="1" applyFill="1" applyBorder="1" applyAlignment="1">
      <x:alignment vertical="top"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7" xfId="0" applyNumberFormat="1" applyFont="1" applyFill="1" applyBorder="1" applyAlignment="1">
      <x:alignment vertical="top" wrapText="1"/>
    </x:xf>
    <x:xf numFmtId="0" fontId="4" fillId="5" borderId="8" xfId="0" applyNumberFormat="1" applyFont="1" applyFill="1" applyBorder="1" applyAlignment="1">
      <x:alignment vertical="top" wrapText="1"/>
    </x:xf>
    <x:xf numFmtId="0" fontId="4" fillId="5" borderId="9" xfId="0" applyNumberFormat="1" applyFont="1" applyFill="1" applyBorder="1" applyAlignment="1">
      <x:alignment vertical="top" wrapText="1"/>
    </x:xf>
    <x:xf numFmtId="0" fontId="4" fillId="6" borderId="5" xfId="0" applyNumberFormat="1" applyFont="1" applyFill="1" applyBorder="1" applyAlignment="1">
      <x:alignment vertical="top" wrapText="1"/>
    </x:xf>
    <x:xf numFmtId="0" fontId="4" fillId="6" borderId="8" xfId="0" applyNumberFormat="1" applyFont="1" applyFill="1" applyBorder="1" applyAlignment="1">
      <x:alignment vertical="top" wrapText="1"/>
    </x:xf>
    <x:xf numFmtId="0" fontId="5" fillId="6" borderId="5" xfId="0" applyNumberFormat="1" applyFont="1" applyFill="1" applyBorder="1" applyAlignment="1">
      <x:alignment vertical="top" wrapText="1"/>
    </x:xf>
    <x:xf numFmtId="0" fontId="5" fillId="6" borderId="8" xfId="0" applyNumberFormat="1" applyFont="1" applyFill="1" applyBorder="1" applyAlignment="1">
      <x:alignment vertical="top" wrapText="1"/>
    </x:xf>
    <x:xf numFmtId="200" fontId="5" fillId="6" borderId="5" xfId="0" applyNumberFormat="1" applyFont="1" applyFill="1" applyBorder="1" applyAlignment="1">
      <x:alignment vertical="top" wrapText="1"/>
    </x:xf>
    <x:xf numFmtId="0" fontId="4" fillId="5" borderId="10" xfId="0" applyNumberFormat="1" applyFont="1" applyFill="1" applyBorder="1"/>
    <x:xf numFmtId="0" fontId="4" fillId="5" borderId="11" xfId="0" applyNumberFormat="1" applyFont="1" applyFill="1" applyBorder="1"/>
    <x:xf numFmtId="0" fontId="4" fillId="5" borderId="1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11" xfId="0" applyNumberFormat="1" applyFont="1" applyFill="1" applyBorder="1" applyAlignment="1">
      <x:alignment wrapText="1"/>
    </x:xf>
    <x:xf numFmtId="0" fontId="4" fillId="5" borderId="1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11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vertical="top" wrapText="1"/>
    </x:xf>
    <x:xf numFmtId="201" fontId="5" fillId="6" borderId="5" xfId="0" applyNumberFormat="1" applyFont="1" applyFill="1" applyBorder="1" applyAlignment="1">
      <x:alignment vertical="top" wrapText="1"/>
    </x:xf>
    <x:xf numFmtId="201" fontId="5" fillId="6" borderId="0" xfId="0" applyNumberFormat="1" applyFont="1" applyFill="1" applyBorder="1" applyAlignment="1">
      <x:alignment vertical="top" wrapText="1"/>
    </x:xf>
    <x:xf numFmtId="202" fontId="5" fillId="6" borderId="0" xfId="0" applyNumberFormat="1" applyFont="1" applyFill="1" applyBorder="1" applyAlignment="1">
      <x:alignment vertical="top" wrapText="1"/>
    </x:xf>
    <x:xf numFmtId="203" fontId="5" fillId="6" borderId="0" xfId="0" applyNumberFormat="1" applyFont="1" applyFill="1" applyBorder="1" applyAlignment="1">
      <x:alignment vertical="top" wrapText="1"/>
    </x:xf>
    <x:xf numFmtId="203" fontId="5" fillId="6" borderId="8" xfId="0" applyNumberFormat="1" applyFont="1" applyFill="1" applyBorder="1" applyAlignment="1">
      <x:alignment vertical="top" wrapText="1"/>
    </x:xf>
    <x:xf numFmtId="204" fontId="5" fillId="6" borderId="0" xfId="0" applyNumberFormat="1" applyFont="1" applyFill="1" applyBorder="1" applyAlignment="1">
      <x:alignment vertical="top" wrapText="1"/>
    </x:xf>
    <x:xf numFmtId="201" fontId="4" fillId="5" borderId="5" xfId="0" applyNumberFormat="1" applyFont="1" applyFill="1" applyBorder="1" applyAlignment="1">
      <x:alignment vertical="top" wrapText="1"/>
    </x:xf>
    <x:xf numFmtId="201" fontId="4" fillId="5" borderId="0" xfId="0" applyNumberFormat="1" applyFont="1" applyFill="1" applyBorder="1" applyAlignment="1">
      <x:alignment vertical="top" wrapText="1"/>
    </x:xf>
    <x:xf numFmtId="201" fontId="4" fillId="5" borderId="8" xfId="0" applyNumberFormat="1" applyFont="1" applyFill="1" applyBorder="1" applyAlignment="1">
      <x:alignment vertical="top" wrapText="1"/>
    </x:xf>
    <x:xf numFmtId="202" fontId="4" fillId="5" borderId="5" xfId="0" applyNumberFormat="1" applyFont="1" applyFill="1" applyBorder="1" applyAlignment="1">
      <x:alignment vertical="top" wrapText="1"/>
    </x:xf>
    <x:xf numFmtId="202" fontId="4" fillId="5" borderId="0" xfId="0" applyNumberFormat="1" applyFont="1" applyFill="1" applyBorder="1" applyAlignment="1">
      <x:alignment vertical="top" wrapText="1"/>
    </x:xf>
    <x:xf numFmtId="202" fontId="4" fillId="5" borderId="8" xfId="0" applyNumberFormat="1" applyFont="1" applyFill="1" applyBorder="1" applyAlignment="1">
      <x:alignment vertical="top" wrapText="1"/>
    </x:xf>
    <x:xf numFmtId="202" fontId="4" fillId="7" borderId="5" xfId="0" applyNumberFormat="1" applyFont="1" applyFill="1" applyBorder="1" applyAlignment="1">
      <x:alignment vertical="top" wrapText="1"/>
    </x:xf>
    <x:xf numFmtId="202" fontId="4" fillId="7" borderId="0" xfId="0" applyNumberFormat="1" applyFont="1" applyFill="1" applyBorder="1" applyAlignment="1">
      <x:alignment vertical="top" wrapText="1"/>
    </x:xf>
    <x:xf numFmtId="202" fontId="4" fillId="7" borderId="8" xfId="0" applyNumberFormat="1" applyFont="1" applyFill="1" applyBorder="1" applyAlignment="1">
      <x:alignment vertical="top" wrapText="1"/>
    </x:xf>
    <x:xf numFmtId="202" fontId="6" fillId="7" borderId="5" xfId="0" applyNumberFormat="1" applyFont="1" applyFill="1" applyBorder="1" applyAlignment="1">
      <x:alignment vertical="top" wrapText="1"/>
    </x:xf>
    <x:xf numFmtId="202" fontId="6" fillId="7" borderId="0" xfId="0" applyNumberFormat="1" applyFont="1" applyFill="1" applyBorder="1" applyAlignment="1">
      <x:alignment vertical="top" wrapText="1"/>
    </x:xf>
    <x:xf numFmtId="202" fontId="6" fillId="7" borderId="8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4" fillId="8" borderId="11" xfId="0" applyNumberFormat="1" applyFont="1" applyFill="1" applyBorder="1" applyAlignment="1">
      <x:alignment vertical="top" wrapText="1"/>
    </x:xf>
    <x:xf numFmtId="205" fontId="5" fillId="6" borderId="5" xfId="0" applyNumberFormat="1" applyFont="1" applyFill="1" applyBorder="1" applyAlignment="1">
      <x:alignment vertical="top" wrapText="1"/>
    </x:xf>
    <x:xf numFmtId="205" fontId="5" fillId="6" borderId="0" xfId="0" applyNumberFormat="1" applyFont="1" applyFill="1" applyBorder="1" applyAlignment="1">
      <x:alignment vertical="top" wrapText="1"/>
    </x:xf>
    <x:xf numFmtId="205" fontId="5" fillId="6" borderId="8" xfId="0" applyNumberFormat="1" applyFont="1" applyFill="1" applyBorder="1" applyAlignment="1">
      <x:alignment vertical="top" wrapText="1"/>
    </x:xf>
    <x:xf numFmtId="206" fontId="5" fillId="6" borderId="5" xfId="0" applyNumberFormat="1" applyFont="1" applyFill="1" applyBorder="1" applyAlignment="1">
      <x:alignment vertical="top" wrapText="1"/>
    </x:xf>
    <x:xf numFmtId="206" fontId="5" fillId="6" borderId="0" xfId="0" applyNumberFormat="1" applyFont="1" applyFill="1" applyBorder="1" applyAlignment="1">
      <x:alignment vertical="top" wrapText="1"/>
    </x:xf>
    <x:xf numFmtId="206" fontId="5" fillId="6" borderId="8" xfId="0" applyNumberFormat="1" applyFont="1" applyFill="1" applyBorder="1" applyAlignment="1">
      <x:alignment vertical="top" wrapText="1"/>
    </x:xf>
    <x:xf numFmtId="207" fontId="5" fillId="6" borderId="5" xfId="0" applyNumberFormat="1" applyFont="1" applyFill="1" applyBorder="1" applyAlignment="1">
      <x:alignment vertical="top" wrapText="1"/>
    </x:xf>
    <x:xf numFmtId="207" fontId="4" fillId="5" borderId="5" xfId="0" applyNumberFormat="1" applyFont="1" applyFill="1" applyBorder="1" applyAlignment="1">
      <x:alignment vertical="top" wrapText="1"/>
    </x:xf>
    <x:xf numFmtId="207" fontId="5" fillId="6" borderId="0" xfId="0" applyNumberFormat="1" applyFont="1" applyFill="1" applyBorder="1" applyAlignment="1">
      <x:alignment vertical="top" wrapText="1"/>
    </x:xf>
    <x:xf numFmtId="207" fontId="4" fillId="5" borderId="0" xfId="0" applyNumberFormat="1" applyFont="1" applyFill="1" applyBorder="1" applyAlignment="1">
      <x:alignment vertical="top" wrapText="1"/>
    </x:xf>
    <x:xf numFmtId="207" fontId="5" fillId="6" borderId="8" xfId="0" applyNumberFormat="1" applyFont="1" applyFill="1" applyBorder="1" applyAlignment="1">
      <x:alignment vertical="top" wrapText="1"/>
    </x:xf>
    <x:xf numFmtId="207" fontId="4" fillId="5" borderId="8" xfId="0" applyNumberFormat="1" applyFont="1" applyFill="1" applyBorder="1" applyAlignment="1">
      <x:alignment vertical="top" wrapText="1"/>
    </x:xf>
    <x:xf numFmtId="204" fontId="4" fillId="5" borderId="6" xfId="0" applyNumberFormat="1" applyFont="1" applyFill="1" applyBorder="1" applyAlignment="1">
      <x:alignment vertical="top" wrapText="1"/>
    </x:xf>
    <x:xf numFmtId="204" fontId="4" fillId="5" borderId="11" xfId="0" applyNumberFormat="1" applyFont="1" applyFill="1" applyBorder="1" applyAlignment="1">
      <x:alignment vertical="top" wrapText="1"/>
    </x:xf>
    <x:xf numFmtId="204" fontId="4" fillId="5" borderId="9" xfId="0" applyNumberFormat="1" applyFont="1" applyFill="1" applyBorder="1" applyAlignment="1">
      <x:alignment vertical="top" wrapText="1"/>
    </x:xf>
    <x:xf numFmtId="0" fontId="4" fillId="5" borderId="5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8" xfId="0" applyNumberFormat="1" applyFont="1" applyFill="1" applyBorder="1" applyAlignment="1">
      <x:alignment horizontal="center" vertical="top" wrapText="1"/>
    </x:xf>
    <x:xf numFmtId="0" fontId="4" fillId="7" borderId="1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11" xfId="0" applyNumberFormat="1" applyFont="1" applyFill="1" applyBorder="1" applyAlignment="1">
      <x:alignment vertical="top" wrapText="1"/>
    </x:xf>
    <x:xf numFmtId="0" fontId="4" fillId="7" borderId="7" xfId="0" applyNumberFormat="1" applyFont="1" applyFill="1" applyBorder="1" applyAlignment="1">
      <x:alignment vertical="top" wrapText="1"/>
    </x:xf>
    <x:xf numFmtId="0" fontId="4" fillId="7" borderId="8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6" fillId="7" borderId="7" xfId="0" applyNumberFormat="1" applyFont="1" applyFill="1" applyBorder="1" applyAlignment="1">
      <x:alignment vertical="top" wrapText="1"/>
    </x:xf>
    <x:xf numFmtId="0" fontId="6" fillId="7" borderId="8" xfId="0" applyNumberFormat="1" applyFont="1" applyFill="1" applyBorder="1" applyAlignment="1">
      <x:alignment vertical="top" wrapText="1"/>
    </x:xf>
    <x:xf numFmtId="0" fontId="6" fillId="7" borderId="9" xfId="0" applyNumberFormat="1" applyFont="1" applyFill="1" applyBorder="1" applyAlignment="1">
      <x:alignment vertical="top" wrapText="1"/>
    </x:xf>
    <x:xf numFmtId="203" fontId="4" fillId="5" borderId="5" xfId="0" applyNumberFormat="1" applyFont="1" applyFill="1" applyBorder="1" applyAlignment="1">
      <x:alignment vertical="top" wrapText="1"/>
    </x:xf>
    <x:xf numFmtId="203" fontId="4" fillId="5" borderId="0" xfId="0" applyNumberFormat="1" applyFont="1" applyFill="1" applyBorder="1" applyAlignment="1">
      <x:alignment vertical="top" wrapText="1"/>
    </x:xf>
    <x:xf numFmtId="203" fontId="6" fillId="7" borderId="8" xfId="0" applyNumberFormat="1" applyFont="1" applyFill="1" applyBorder="1" applyAlignment="1">
      <x:alignment vertical="top" wrapText="1"/>
    </x:xf>
    <x:xf numFmtId="204" fontId="4" fillId="5" borderId="5" xfId="0" applyNumberFormat="1" applyFont="1" applyFill="1" applyBorder="1" applyAlignment="1">
      <x:alignment vertical="top" wrapText="1"/>
    </x:xf>
    <x:xf numFmtId="204" fontId="4" fillId="5" borderId="0" xfId="0" applyNumberFormat="1" applyFont="1" applyFill="1" applyBorder="1" applyAlignment="1">
      <x:alignment vertical="top" wrapText="1"/>
    </x:xf>
    <x:xf numFmtId="208" fontId="3" fillId="2" borderId="2" xfId="0" applyNumberFormat="1" applyFont="1" applyFill="1" applyBorder="1" applyAlignment="1">
      <x:alignment horizontal="center" vertical="center" wrapText="1"/>
    </x:xf>
    <x:xf numFmtId="208" fontId="3" fillId="2" borderId="3" xfId="0" applyNumberFormat="1" applyFont="1" applyFill="1" applyBorder="1" applyAlignment="1">
      <x:alignment horizontal="center" vertical="center" wrapText="1"/>
    </x:xf>
    <x:xf numFmtId="209" fontId="4" fillId="5" borderId="4" xfId="0" applyNumberFormat="1" applyFont="1" applyFill="1" applyBorder="1" applyAlignment="1">
      <x:alignment vertical="top" wrapText="1"/>
    </x:xf>
    <x:xf numFmtId="209" fontId="4" fillId="5" borderId="10" xfId="0" applyNumberFormat="1" applyFont="1" applyFill="1" applyBorder="1" applyAlignment="1">
      <x:alignment vertical="top" wrapText="1"/>
    </x:xf>
    <x:xf numFmtId="209" fontId="4" fillId="5" borderId="7" xfId="0" applyNumberFormat="1" applyFont="1" applyFill="1" applyBorder="1" applyAlignment="1">
      <x:alignment vertical="top" wrapText="1"/>
    </x:xf>
    <x:xf numFmtId="204" fontId="4" fillId="5" borderId="8" xfId="0" applyNumberFormat="1" applyFont="1" applyFill="1" applyBorder="1" applyAlignment="1">
      <x:alignment vertical="top" wrapText="1"/>
    </x:xf>
    <x:xf numFmtId="0" fontId="4" fillId="8" borderId="4" xfId="0" applyNumberFormat="1" applyFont="1" applyFill="1" applyBorder="1" applyAlignment="1">
      <x:alignment vertical="top" wrapText="1"/>
    </x:xf>
    <x:xf numFmtId="0" fontId="4" fillId="8" borderId="10" xfId="0" applyNumberFormat="1" applyFont="1" applyFill="1" applyBorder="1" applyAlignment="1">
      <x:alignment vertical="top" wrapText="1"/>
    </x:xf>
    <x:xf numFmtId="0" fontId="4" fillId="8" borderId="6" xfId="0" applyNumberFormat="1" applyFont="1" applyFill="1" applyBorder="1" applyAlignment="1">
      <x:alignment vertical="top" wrapText="1"/>
    </x:xf>
    <x:xf numFmtId="0" fontId="4" fillId="7" borderId="4" xfId="0" applyNumberFormat="1" applyFont="1" applyFill="1" applyBorder="1" applyAlignment="1">
      <x:alignment vertical="top" wrapText="1"/>
    </x:xf>
    <x:xf numFmtId="0" fontId="6" fillId="7" borderId="4" xfId="0" applyNumberFormat="1" applyFont="1" applyFill="1" applyBorder="1" applyAlignment="1">
      <x:alignment vertical="top" wrapText="1"/>
    </x:xf>
    <x:xf numFmtId="0" fontId="6" fillId="7" borderId="10" xfId="0" applyNumberFormat="1" applyFont="1" applyFill="1" applyBorder="1" applyAlignment="1">
      <x:alignment vertical="top" wrapText="1"/>
    </x:xf>
    <x:xf numFmtId="205" fontId="4" fillId="5" borderId="5" xfId="0" applyNumberFormat="1" applyFont="1" applyFill="1" applyBorder="1" applyAlignment="1">
      <x:alignment vertical="top" wrapText="1"/>
    </x:xf>
    <x:xf numFmtId="205" fontId="4" fillId="5" borderId="8" xfId="0" applyNumberFormat="1" applyFont="1" applyFill="1" applyBorder="1" applyAlignment="1">
      <x:alignment vertical="top" wrapText="1"/>
    </x:xf>
    <x:xf numFmtId="206" fontId="4" fillId="5" borderId="6" xfId="0" applyNumberFormat="1" applyFont="1" applyFill="1" applyBorder="1" applyAlignment="1">
      <x:alignment vertical="top" wrapText="1"/>
    </x:xf>
    <x:xf numFmtId="206" fontId="4" fillId="5" borderId="9" xfId="0" applyNumberFormat="1" applyFont="1" applyFill="1" applyBorder="1" applyAlignment="1">
      <x:alignment vertical="top" wrapText="1"/>
    </x:xf>
    <x:xf numFmtId="203" fontId="4" fillId="5" borderId="8" xfId="0" applyNumberFormat="1" applyFont="1" applyFill="1" applyBorder="1" applyAlignment="1">
      <x:alignment vertical="top" wrapText="1"/>
    </x:xf>
    <x:xf numFmtId="207" fontId="4" fillId="5" borderId="11" xfId="0" applyNumberFormat="1" applyFont="1" applyFill="1" applyBorder="1" applyAlignment="1">
      <x:alignment vertical="top" wrapText="1"/>
    </x:xf>
    <x:xf numFmtId="0" fontId="4" fillId="4" borderId="4" xfId="0" applyNumberFormat="1" applyFont="1" applyFill="1" applyBorder="1" applyAlignment="1">
      <x:alignment vertical="top" wrapText="1"/>
    </x:xf>
    <x:xf numFmtId="0" fontId="4" fillId="4" borderId="10" xfId="0" applyNumberFormat="1" applyFont="1" applyFill="1" applyBorder="1" applyAlignment="1">
      <x:alignment vertical="top" wrapText="1"/>
    </x:xf>
    <x:xf numFmtId="0" fontId="4" fillId="4" borderId="7" xfId="0" applyNumberFormat="1" applyFont="1" applyFill="1" applyBorder="1" applyAlignment="1">
      <x:alignment vertical="top" wrapText="1"/>
    </x:xf>
    <x:xf numFmtId="0" fontId="7" fillId="4" borderId="4" xfId="0" applyNumberFormat="1" applyFont="1" applyFill="1" applyBorder="1" applyAlignment="1">
      <x:alignment vertical="top" wrapText="1"/>
    </x:xf>
    <x:xf numFmtId="0" fontId="7" fillId="4" borderId="10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horizontal="left"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8" fillId="2" borderId="2" xfId="0" applyNumberFormat="1" applyFont="1" applyFill="1" applyBorder="1" applyAlignment="1">
      <x:alignment horizontal="center" vertical="center" wrapText="1"/>
    </x:xf>
    <x:xf numFmtId="0" fontId="8" fillId="2" borderId="3" xfId="0" applyNumberFormat="1" applyFont="1" applyFill="1" applyBorder="1" applyAlignment="1">
      <x:alignment horizontal="center" vertical="center" wrapText="1"/>
    </x:xf>
    <x:xf numFmtId="0" fontId="11" fillId="5" borderId="4" xfId="0" applyNumberFormat="1" applyFont="1" applyFill="1" applyBorder="1" applyAlignment="1">
      <x:alignment vertical="top" wrapText="1"/>
    </x:xf>
    <x:xf numFmtId="200" fontId="12" fillId="6" borderId="5" xfId="0" applyNumberFormat="1" applyFont="1" applyFill="1" applyBorder="1" applyAlignment="1">
      <x:alignment vertical="top" wrapText="1"/>
    </x:xf>
    <x:xf numFmtId="0" fontId="11" fillId="5" borderId="6" xfId="0" applyNumberFormat="1" applyFont="1" applyFill="1" applyBorder="1" applyAlignment="1">
      <x:alignment vertical="top" wrapText="1"/>
    </x:xf>
    <x:xf numFmtId="0" fontId="11" fillId="5" borderId="7" xfId="0" applyNumberFormat="1" applyFont="1" applyFill="1" applyBorder="1" applyAlignment="1">
      <x:alignment vertical="top" wrapText="1"/>
    </x:xf>
    <x:xf numFmtId="0" fontId="12" fillId="6" borderId="8" xfId="0" applyNumberFormat="1" applyFont="1" applyFill="1" applyBorder="1" applyAlignment="1">
      <x:alignment vertical="top" wrapText="1"/>
    </x:xf>
    <x:xf numFmtId="0" fontId="11" fillId="5" borderId="9" xfId="0" applyNumberFormat="1" applyFont="1" applyFill="1" applyBorder="1" applyAlignment="1">
      <x:alignment vertical="top" wrapText="1"/>
    </x:xf>
    <x:xf numFmtId="201" fontId="12" fillId="6" borderId="5" xfId="0" applyNumberFormat="1" applyFont="1" applyFill="1" applyBorder="1" applyAlignment="1">
      <x:alignment vertical="top" wrapText="1"/>
    </x:xf>
    <x:xf numFmtId="0" fontId="11" fillId="5" borderId="5" xfId="0" applyNumberFormat="1" applyFont="1" applyFill="1" applyBorder="1" applyAlignment="1">
      <x:alignment vertical="top" wrapText="1"/>
    </x:xf>
    <x:xf numFmtId="0" fontId="11" fillId="5" borderId="10" xfId="0" applyNumberFormat="1" applyFont="1" applyFill="1" applyBorder="1" applyAlignment="1">
      <x:alignment vertical="top" wrapText="1"/>
    </x:xf>
    <x:xf numFmtId="202" fontId="12" fillId="6" borderId="0" xfId="0" applyNumberFormat="1" applyFont="1" applyFill="1" applyBorder="1" applyAlignment="1">
      <x:alignment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5" borderId="11" xfId="0" applyNumberFormat="1" applyFont="1" applyFill="1" applyBorder="1" applyAlignment="1">
      <x:alignment vertical="top" wrapText="1"/>
    </x:xf>
    <x:xf numFmtId="201" fontId="12" fillId="6" borderId="0" xfId="0" applyNumberFormat="1" applyFont="1" applyFill="1" applyBorder="1" applyAlignment="1">
      <x:alignment vertical="top" wrapText="1"/>
    </x:xf>
    <x:xf numFmtId="203" fontId="12" fillId="6" borderId="0" xfId="0" applyNumberFormat="1" applyFont="1" applyFill="1" applyBorder="1" applyAlignment="1">
      <x:alignment vertical="top" wrapText="1"/>
    </x:xf>
    <x:xf numFmtId="203" fontId="12" fillId="6" borderId="8" xfId="0" applyNumberFormat="1" applyFont="1" applyFill="1" applyBorder="1" applyAlignment="1">
      <x:alignment vertical="top" wrapText="1"/>
    </x:xf>
    <x:xf numFmtId="0" fontId="11" fillId="5" borderId="8" xfId="0" applyNumberFormat="1" applyFont="1" applyFill="1" applyBorder="1" applyAlignment="1">
      <x:alignment vertical="top" wrapText="1"/>
    </x:xf>
    <x:xf numFmtId="0" fontId="12" fillId="6" borderId="5" xfId="0" applyNumberFormat="1" applyFont="1" applyFill="1" applyBorder="1" applyAlignment="1">
      <x:alignment vertical="top" wrapText="1"/>
    </x:xf>
    <x:xf numFmtId="0" fontId="12" fillId="6" borderId="0" xfId="0" applyNumberFormat="1" applyFont="1" applyFill="1" applyBorder="1" applyAlignment="1">
      <x:alignment vertical="top" wrapText="1"/>
    </x:xf>
    <x:xf numFmtId="204" fontId="12" fillId="6" borderId="0" xfId="0" applyNumberFormat="1" applyFont="1" applyFill="1" applyBorder="1" applyAlignment="1">
      <x:alignment vertical="top" wrapText="1"/>
    </x:xf>
    <x:xf numFmtId="201" fontId="11" fillId="5" borderId="5" xfId="0" applyNumberFormat="1" applyFont="1" applyFill="1" applyBorder="1" applyAlignment="1">
      <x:alignment vertical="top" wrapText="1"/>
    </x:xf>
    <x:xf numFmtId="202" fontId="11" fillId="5" borderId="5" xfId="0" applyNumberFormat="1" applyFont="1" applyFill="1" applyBorder="1" applyAlignment="1">
      <x:alignment vertical="top" wrapText="1"/>
    </x:xf>
    <x:xf numFmtId="202" fontId="13" fillId="7" borderId="5" xfId="0" applyNumberFormat="1" applyFont="1" applyFill="1" applyBorder="1" applyAlignment="1">
      <x:alignment vertical="top" wrapText="1"/>
    </x:xf>
    <x:xf numFmtId="201" fontId="11" fillId="5" borderId="0" xfId="0" applyNumberFormat="1" applyFont="1" applyFill="1" applyBorder="1" applyAlignment="1">
      <x:alignment vertical="top" wrapText="1"/>
    </x:xf>
    <x:xf numFmtId="202" fontId="11" fillId="5" borderId="0" xfId="0" applyNumberFormat="1" applyFont="1" applyFill="1" applyBorder="1" applyAlignment="1">
      <x:alignment vertical="top" wrapText="1"/>
    </x:xf>
    <x:xf numFmtId="202" fontId="13" fillId="7" borderId="0" xfId="0" applyNumberFormat="1" applyFont="1" applyFill="1" applyBorder="1" applyAlignment="1">
      <x:alignment vertical="top" wrapText="1"/>
    </x:xf>
    <x:xf numFmtId="0" fontId="11" fillId="8" borderId="0" xfId="0" applyNumberFormat="1" applyFont="1" applyFill="1" applyBorder="1" applyAlignment="1">
      <x:alignment vertical="top" wrapText="1"/>
    </x:xf>
    <x:xf numFmtId="0" fontId="11" fillId="8" borderId="11" xfId="0" applyNumberFormat="1" applyFont="1" applyFill="1" applyBorder="1" applyAlignment="1">
      <x:alignment vertical="top" wrapText="1"/>
    </x:xf>
    <x:xf numFmtId="201" fontId="11" fillId="5" borderId="8" xfId="0" applyNumberFormat="1" applyFont="1" applyFill="1" applyBorder="1" applyAlignment="1">
      <x:alignment vertical="top" wrapText="1"/>
    </x:xf>
    <x:xf numFmtId="202" fontId="11" fillId="5" borderId="8" xfId="0" applyNumberFormat="1" applyFont="1" applyFill="1" applyBorder="1" applyAlignment="1">
      <x:alignment vertical="top" wrapText="1"/>
    </x:xf>
    <x:xf numFmtId="202" fontId="13" fillId="7" borderId="8" xfId="0" applyNumberFormat="1" applyFont="1" applyFill="1" applyBorder="1" applyAlignment="1">
      <x:alignment vertical="top" wrapText="1"/>
    </x:xf>
    <x:xf numFmtId="205" fontId="12" fillId="6" borderId="5" xfId="0" applyNumberFormat="1" applyFont="1" applyFill="1" applyBorder="1" applyAlignment="1">
      <x:alignment vertical="top" wrapText="1"/>
    </x:xf>
    <x:xf numFmtId="206" fontId="12" fillId="6" borderId="5" xfId="0" applyNumberFormat="1" applyFont="1" applyFill="1" applyBorder="1" applyAlignment="1">
      <x:alignment vertical="top" wrapText="1"/>
    </x:xf>
    <x:xf numFmtId="207" fontId="12" fillId="6" borderId="5" xfId="0" applyNumberFormat="1" applyFont="1" applyFill="1" applyBorder="1" applyAlignment="1">
      <x:alignment vertical="top" wrapText="1"/>
    </x:xf>
    <x:xf numFmtId="207" fontId="11" fillId="5" borderId="5" xfId="0" applyNumberFormat="1" applyFont="1" applyFill="1" applyBorder="1" applyAlignment="1">
      <x:alignment vertical="top" wrapText="1"/>
    </x:xf>
    <x:xf numFmtId="204" fontId="11" fillId="5" borderId="6" xfId="0" applyNumberFormat="1" applyFont="1" applyFill="1" applyBorder="1" applyAlignment="1">
      <x:alignment vertical="top" wrapText="1"/>
    </x:xf>
    <x:xf numFmtId="205" fontId="12" fillId="6" borderId="0" xfId="0" applyNumberFormat="1" applyFont="1" applyFill="1" applyBorder="1" applyAlignment="1">
      <x:alignment vertical="top" wrapText="1"/>
    </x:xf>
    <x:xf numFmtId="206" fontId="12" fillId="6" borderId="0" xfId="0" applyNumberFormat="1" applyFont="1" applyFill="1" applyBorder="1" applyAlignment="1">
      <x:alignment vertical="top" wrapText="1"/>
    </x:xf>
    <x:xf numFmtId="207" fontId="12" fillId="6" borderId="0" xfId="0" applyNumberFormat="1" applyFont="1" applyFill="1" applyBorder="1" applyAlignment="1">
      <x:alignment vertical="top" wrapText="1"/>
    </x:xf>
    <x:xf numFmtId="207" fontId="11" fillId="5" borderId="0" xfId="0" applyNumberFormat="1" applyFont="1" applyFill="1" applyBorder="1" applyAlignment="1">
      <x:alignment vertical="top" wrapText="1"/>
    </x:xf>
    <x:xf numFmtId="204" fontId="11" fillId="5" borderId="11" xfId="0" applyNumberFormat="1" applyFont="1" applyFill="1" applyBorder="1" applyAlignment="1">
      <x:alignment vertical="top" wrapText="1"/>
    </x:xf>
    <x:xf numFmtId="205" fontId="12" fillId="6" borderId="8" xfId="0" applyNumberFormat="1" applyFont="1" applyFill="1" applyBorder="1" applyAlignment="1">
      <x:alignment vertical="top" wrapText="1"/>
    </x:xf>
    <x:xf numFmtId="206" fontId="12" fillId="6" borderId="8" xfId="0" applyNumberFormat="1" applyFont="1" applyFill="1" applyBorder="1" applyAlignment="1">
      <x:alignment vertical="top" wrapText="1"/>
    </x:xf>
    <x:xf numFmtId="207" fontId="12" fillId="6" borderId="8" xfId="0" applyNumberFormat="1" applyFont="1" applyFill="1" applyBorder="1" applyAlignment="1">
      <x:alignment vertical="top" wrapText="1"/>
    </x:xf>
    <x:xf numFmtId="207" fontId="11" fillId="5" borderId="8" xfId="0" applyNumberFormat="1" applyFont="1" applyFill="1" applyBorder="1" applyAlignment="1">
      <x:alignment vertical="top" wrapText="1"/>
    </x:xf>
    <x:xf numFmtId="204" fontId="11" fillId="5" borderId="9" xfId="0" applyNumberFormat="1" applyFont="1" applyFill="1" applyBorder="1" applyAlignment="1">
      <x:alignment vertical="top" wrapText="1"/>
    </x:xf>
    <x:xf numFmtId="0" fontId="11" fillId="5" borderId="5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horizontal="center" vertical="top" wrapText="1"/>
    </x:xf>
    <x:xf numFmtId="0" fontId="11" fillId="7" borderId="10" xfId="0" applyNumberFormat="1" applyFont="1" applyFill="1" applyBorder="1" applyAlignment="1">
      <x:alignment vertical="top" wrapText="1"/>
    </x:xf>
    <x:xf numFmtId="0" fontId="11" fillId="7" borderId="0" xfId="0" applyNumberFormat="1" applyFont="1" applyFill="1" applyBorder="1" applyAlignment="1">
      <x:alignment horizontal="center" vertical="top" wrapText="1"/>
    </x:xf>
    <x:xf numFmtId="0" fontId="11" fillId="7" borderId="0" xfId="0" applyNumberFormat="1" applyFont="1" applyFill="1" applyBorder="1" applyAlignment="1">
      <x:alignment vertical="top" wrapText="1"/>
    </x:xf>
    <x:xf numFmtId="0" fontId="11" fillId="7" borderId="11" xfId="0" applyNumberFormat="1" applyFont="1" applyFill="1" applyBorder="1" applyAlignment="1">
      <x:alignment vertical="top" wrapText="1"/>
    </x:xf>
    <x:xf numFmtId="0" fontId="11" fillId="5" borderId="8" xfId="0" applyNumberFormat="1" applyFont="1" applyFill="1" applyBorder="1" applyAlignment="1">
      <x:alignment horizontal="center" vertical="top" wrapText="1"/>
    </x:xf>
    <x:xf numFmtId="203" fontId="11" fillId="5" borderId="5" xfId="0" applyNumberFormat="1" applyFont="1" applyFill="1" applyBorder="1" applyAlignment="1">
      <x:alignment vertical="top" wrapText="1"/>
    </x:xf>
    <x:xf numFmtId="204" fontId="11" fillId="5" borderId="5" xfId="0" applyNumberFormat="1" applyFont="1" applyFill="1" applyBorder="1" applyAlignment="1">
      <x:alignment vertical="top" wrapText="1"/>
    </x:xf>
    <x:xf numFmtId="203" fontId="11" fillId="5" borderId="0" xfId="0" applyNumberFormat="1" applyFont="1" applyFill="1" applyBorder="1" applyAlignment="1">
      <x:alignment vertical="top" wrapText="1"/>
    </x:xf>
    <x:xf numFmtId="204" fontId="11" fillId="5" borderId="0" xfId="0" applyNumberFormat="1" applyFont="1" applyFill="1" applyBorder="1" applyAlignment="1">
      <x:alignment vertical="top" wrapText="1"/>
    </x:xf>
    <x:xf numFmtId="0" fontId="13" fillId="7" borderId="7" xfId="0" applyNumberFormat="1" applyFont="1" applyFill="1" applyBorder="1" applyAlignment="1">
      <x:alignment vertical="top" wrapText="1"/>
    </x:xf>
    <x:xf numFmtId="0" fontId="13" fillId="7" borderId="8" xfId="0" applyNumberFormat="1" applyFont="1" applyFill="1" applyBorder="1" applyAlignment="1">
      <x:alignment vertical="top" wrapText="1"/>
    </x:xf>
    <x:xf numFmtId="203" fontId="13" fillId="7" borderId="8" xfId="0" applyNumberFormat="1" applyFont="1" applyFill="1" applyBorder="1" applyAlignment="1">
      <x:alignment vertical="top" wrapText="1"/>
    </x:xf>
    <x:xf numFmtId="0" fontId="13" fillId="7" borderId="9" xfId="0" applyNumberFormat="1" applyFont="1" applyFill="1" applyBorder="1" applyAlignment="1">
      <x:alignment vertical="top" wrapText="1"/>
    </x:xf>
    <x:xf numFmtId="208" fontId="8" fillId="2" borderId="2" xfId="0" applyNumberFormat="1" applyFont="1" applyFill="1" applyBorder="1" applyAlignment="1">
      <x:alignment horizontal="center" vertical="center" wrapText="1"/>
    </x:xf>
    <x:xf numFmtId="208" fontId="8" fillId="2" borderId="3" xfId="0" applyNumberFormat="1" applyFont="1" applyFill="1" applyBorder="1" applyAlignment="1">
      <x:alignment horizontal="center" vertical="center" wrapText="1"/>
    </x:xf>
    <x:xf numFmtId="209" fontId="11" fillId="5" borderId="4" xfId="0" applyNumberFormat="1" applyFont="1" applyFill="1" applyBorder="1" applyAlignment="1">
      <x:alignment vertical="top" wrapText="1"/>
    </x:xf>
    <x:xf numFmtId="209" fontId="11" fillId="5" borderId="10" xfId="0" applyNumberFormat="1" applyFont="1" applyFill="1" applyBorder="1" applyAlignment="1">
      <x:alignment vertical="top" wrapText="1"/>
    </x:xf>
    <x:xf numFmtId="209" fontId="11" fillId="5" borderId="7" xfId="0" applyNumberFormat="1" applyFont="1" applyFill="1" applyBorder="1" applyAlignment="1">
      <x:alignment vertical="top" wrapText="1"/>
    </x:xf>
    <x:xf numFmtId="204" fontId="11" fillId="5" borderId="8" xfId="0" applyNumberFormat="1" applyFont="1" applyFill="1" applyBorder="1" applyAlignment="1">
      <x:alignment vertical="top" wrapText="1"/>
    </x:xf>
    <x:xf numFmtId="0" fontId="11" fillId="8" borderId="4" xfId="0" applyNumberFormat="1" applyFont="1" applyFill="1" applyBorder="1" applyAlignment="1">
      <x:alignment vertical="top" wrapText="1"/>
    </x:xf>
    <x:xf numFmtId="0" fontId="11" fillId="8" borderId="6" xfId="0" applyNumberFormat="1" applyFont="1" applyFill="1" applyBorder="1" applyAlignment="1">
      <x:alignment vertical="top" wrapText="1"/>
    </x:xf>
    <x:xf numFmtId="0" fontId="11" fillId="8" borderId="10" xfId="0" applyNumberFormat="1" applyFont="1" applyFill="1" applyBorder="1" applyAlignment="1">
      <x:alignment vertical="top" wrapText="1"/>
    </x:xf>
    <x:xf numFmtId="0" fontId="11" fillId="7" borderId="9" xfId="0" applyNumberFormat="1" applyFont="1" applyFill="1" applyBorder="1" applyAlignment="1">
      <x:alignment vertical="top" wrapText="1"/>
    </x:xf>
    <x:xf numFmtId="0" fontId="13" fillId="7" borderId="4" xfId="0" applyNumberFormat="1" applyFont="1" applyFill="1" applyBorder="1" applyAlignment="1">
      <x:alignment vertical="top" wrapText="1"/>
    </x:xf>
    <x:xf numFmtId="0" fontId="13" fillId="7" borderId="10" xfId="0" applyNumberFormat="1" applyFont="1" applyFill="1" applyBorder="1" applyAlignment="1">
      <x:alignment vertical="top" wrapText="1"/>
    </x:xf>
    <x:xf numFmtId="205" fontId="11" fillId="5" borderId="5" xfId="0" applyNumberFormat="1" applyFont="1" applyFill="1" applyBorder="1" applyAlignment="1">
      <x:alignment vertical="top" wrapText="1"/>
    </x:xf>
    <x:xf numFmtId="206" fontId="11" fillId="5" borderId="6" xfId="0" applyNumberFormat="1" applyFont="1" applyFill="1" applyBorder="1" applyAlignment="1">
      <x:alignment vertical="top" wrapText="1"/>
    </x:xf>
    <x:xf numFmtId="205" fontId="11" fillId="5" borderId="8" xfId="0" applyNumberFormat="1" applyFont="1" applyFill="1" applyBorder="1" applyAlignment="1">
      <x:alignment vertical="top" wrapText="1"/>
    </x:xf>
    <x:xf numFmtId="206" fontId="11" fillId="5" borderId="9" xfId="0" applyNumberFormat="1" applyFont="1" applyFill="1" applyBorder="1" applyAlignment="1">
      <x:alignment vertical="top" wrapText="1"/>
    </x:xf>
    <x:xf numFmtId="207" fontId="11" fillId="5" borderId="11" xfId="0" applyNumberFormat="1" applyFont="1" applyFill="1" applyBorder="1" applyAlignment="1">
      <x:alignment vertical="top" wrapText="1"/>
    </x:xf>
    <x:xf numFmtId="203" fontId="11" fillId="5" borderId="8" xfId="0" applyNumberFormat="1" applyFont="1" applyFill="1" applyBorder="1" applyAlignment="1">
      <x:alignment vertical="top" wrapText="1"/>
    </x:xf>
    <x:xf numFmtId="0" fontId="8" fillId="4" borderId="4" xfId="0" applyNumberFormat="1" applyFont="1" applyFill="1" applyBorder="1" applyAlignment="1">
      <x:alignment vertical="top" wrapText="1"/>
    </x:xf>
    <x:xf numFmtId="0" fontId="8" fillId="4" borderId="10" xfId="0" applyNumberFormat="1" applyFont="1" applyFill="1" applyBorder="1" applyAlignment="1">
      <x:alignment vertical="top" wrapText="1"/>
    </x:xf>
    <x:xf numFmtId="0" fontId="8" fillId="4" borderId="7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/>
    <x:xf numFmtId="0" fontId="15" fillId="10" borderId="0" xfId="0" applyNumberFormat="1" applyFont="1" applyFill="1" applyBorder="1"/>
    <x:xf numFmtId="0" fontId="15" fillId="10" borderId="0" xfId="0" applyNumberFormat="1" applyFont="1" applyFill="1" applyBorder="1" applyAlignment="1">
      <x:alignment wrapText="1"/>
    </x:xf>
    <x:xf numFmtId="0" fontId="15" fillId="1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  <x:xf numFmtId="0" fontId="9" fillId="11" borderId="0" xfId="0" applyNumberFormat="1" applyFont="1" applyFill="1" applyBorder="1" applyAlignment="1">
      <x:alignment vertical="top" wrapText="1"/>
    </x:xf>
    <x:xf numFmtId="0" fontId="12" fillId="11" borderId="0" xfId="0" applyNumberFormat="1" applyFont="1" applyFill="1" applyBorder="1" applyAlignment="1">
      <x:alignment vertical="top" wrapText="1"/>
    </x:xf>
    <x:xf numFmtId="203" fontId="12" fillId="11" borderId="0" xfId="0" applyNumberFormat="1" applyFont="1" applyFill="1" applyBorder="1" applyAlignment="1">
      <x:alignment vertical="top" wrapText="1"/>
    </x:xf>
    <x:xf numFmtId="203" fontId="12" fillId="11" borderId="0" xfId="0" applyNumberFormat="1" applyFont="1" applyFill="1" applyBorder="1" applyAlignment="1">
      <x:alignment horizontal="right"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4" fillId="9" borderId="12" xfId="0" applyNumberFormat="1" applyFont="1" applyFill="1" applyBorder="1" applyAlignment="1">
      <x:alignment vertical="center"/>
    </x:xf>
    <x:xf numFmtId="0" fontId="14" fillId="9" borderId="13" xfId="0" applyNumberFormat="1" applyFont="1" applyFill="1" applyBorder="1" applyAlignment="1">
      <x:alignment vertical="center"/>
    </x:xf>
    <x:xf numFmtId="0" fontId="14" fillId="9" borderId="14" xfId="0" applyNumberFormat="1" applyFont="1" applyFill="1" applyBorder="1" applyAlignment="1">
      <x:alignment vertical="center"/>
    </x:xf>
    <x:xf numFmtId="0" fontId="15" fillId="10" borderId="15" xfId="0" applyNumberFormat="1" applyFont="1" applyFill="1" applyBorder="1" applyAlignment="1">
      <x:alignment vertical="center" wrapText="1"/>
    </x:xf>
    <x:xf numFmtId="0" fontId="15" fillId="10" borderId="16" xfId="0" applyNumberFormat="1" applyFont="1" applyFill="1" applyBorder="1" applyAlignment="1">
      <x:alignment vertical="center" wrapText="1"/>
    </x:xf>
    <x:xf numFmtId="0" fontId="15" fillId="10" borderId="17" xfId="0" applyNumberFormat="1" applyFont="1" applyFill="1" applyBorder="1" applyAlignment="1">
      <x:alignment vertical="center" wrapText="1"/>
    </x:xf>
    <x:xf numFmtId="0" fontId="16" fillId="0" borderId="15" xfId="0" applyNumberFormat="1" applyFont="1" applyFill="1" applyBorder="1" applyAlignment="1">
      <x:alignment vertical="top" wrapText="1"/>
    </x:xf>
    <x:xf numFmtId="203" fontId="12" fillId="11" borderId="16" xfId="0" applyNumberFormat="1" applyFont="1" applyFill="1" applyBorder="1" applyAlignment="1">
      <x:alignment horizontal="right" vertical="top" wrapText="1"/>
    </x:xf>
    <x:xf numFmtId="0" fontId="9" fillId="0" borderId="16" xfId="0" applyNumberFormat="1" applyFont="1" applyFill="1" applyBorder="1" applyAlignment="1">
      <x:alignment vertical="top" wrapText="1"/>
    </x:xf>
    <x:xf numFmtId="0" fontId="9" fillId="0" borderId="17" xfId="0" applyNumberFormat="1" applyFont="1" applyFill="1" applyBorder="1" applyAlignment="1">
      <x:alignment vertical="top" wrapText="1"/>
    </x:xf>
    <x:xf numFmtId="0" fontId="16" fillId="0" borderId="18" xfId="0" applyNumberFormat="1" applyFont="1" applyFill="1" applyBorder="1" applyAlignment="1">
      <x:alignment vertical="top" wrapText="1"/>
    </x:xf>
    <x:xf numFmtId="203" fontId="12" fillId="11" borderId="19" xfId="0" applyNumberFormat="1" applyFont="1" applyFill="1" applyBorder="1" applyAlignment="1">
      <x:alignment horizontal="right" vertical="top" wrapText="1"/>
    </x:xf>
    <x:xf numFmtId="0" fontId="9" fillId="0" borderId="19" xfId="0" applyNumberFormat="1" applyFont="1" applyFill="1" applyBorder="1" applyAlignment="1">
      <x:alignment vertical="top" wrapText="1"/>
    </x:xf>
    <x:xf numFmtId="0" fontId="9" fillId="0" borderId="20" xfId="0" applyNumberFormat="1" applyFont="1" applyFill="1" applyBorder="1" applyAlignment="1">
      <x:alignment vertical="top" wrapText="1"/>
    </x:xf>
    <x:xf numFmtId="0" fontId="9" fillId="11" borderId="0" xfId="0" applyNumberFormat="1" applyFont="1" applyFill="1" applyBorder="1"/>
    <x:xf numFmtId="0" fontId="17" fillId="11" borderId="0" xfId="0" applyNumberFormat="1" applyFont="1" applyFill="1" applyBorder="1"/>
    <x:xf numFmtId="0" fontId="17" fillId="11" borderId="0" xfId="0" applyNumberFormat="1" applyFont="1" applyFill="1" applyBorder="1" applyAlignment="1">
      <x:alignment wrapText="1"/>
    </x:xf>
    <x:xf numFmtId="0" fontId="17" fillId="11" borderId="0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/>
    <x:xf numFmtId="0" fontId="18" fillId="11" borderId="0" xfId="0" applyNumberFormat="1" applyFont="1" applyFill="1" applyBorder="1" applyAlignment="1">
      <x:alignment wrapText="1"/>
    </x:xf>
    <x:xf numFmtId="0" fontId="18" fillId="11" borderId="0" xfId="0" applyNumberFormat="1" applyFont="1" applyFill="1" applyBorder="1" applyAlignment="1">
      <x:alignment vertical="center" wrapText="1"/>
    </x:xf>
    <x:xf numFmtId="0" fontId="19" fillId="11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210" fontId="12" fillId="6" borderId="0" xfId="0" applyNumberFormat="1" applyFont="1" applyFill="1" applyBorder="1" applyAlignment="1">
      <x:alignment vertical="top" wrapText="1"/>
    </x:xf>
    <x:xf numFmtId="0" fontId="18" fillId="12" borderId="0" xfId="0" applyNumberFormat="1" applyFont="1" applyFill="1" applyBorder="1" applyAlignment="1">
      <x:alignment vertical="center" wrapText="1"/>
    </x:xf>
    <x:xf numFmtId="0" fontId="9" fillId="12" borderId="0" xfId="0" applyNumberFormat="1" applyFont="1" applyFill="1" applyBorder="1"/>
    <x:xf numFmtId="0" fontId="18" fillId="12" borderId="0" xfId="0" applyNumberFormat="1" applyFont="1" applyFill="1" applyBorder="1"/>
    <x:xf numFmtId="0" fontId="18" fillId="12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9C0006"/>
      </x:font>
      <x:fill>
        <x:patternFill>
          <x:bgColor rgb="FFFCE8E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8E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ad804eea504346" /><Relationship Type="http://schemas.openxmlformats.org/officeDocument/2006/relationships/theme" Target="/xl/theme/theme1.xml" Id="R5071b07c67a64841" /><Relationship Type="http://schemas.openxmlformats.org/officeDocument/2006/relationships/sharedStrings" Target="/xl/sharedStrings.xml" Id="Ra164ef2b0d664bb5" /><Relationship Type="http://schemas.openxmlformats.org/officeDocument/2006/relationships/worksheet" Target="/xl/worksheets/sheet1.xml" Id="R9e5321fbc2b340f0" /><Relationship Type="http://schemas.openxmlformats.org/officeDocument/2006/relationships/worksheet" Target="/xl/worksheets/sheet2.xml" Id="R7052761d594e4a8e" /><Relationship Type="http://schemas.openxmlformats.org/officeDocument/2006/relationships/worksheet" Target="/xl/worksheets/sheet3.xml" Id="R65ec501a6cec4ebf" /><Relationship Type="http://schemas.openxmlformats.org/officeDocument/2006/relationships/worksheet" Target="/xl/worksheets/sheet4.xml" Id="R3115d88fc7274b20" /><Relationship Type="http://schemas.openxmlformats.org/officeDocument/2006/relationships/worksheet" Target="/xl/worksheets/sheet5.xml" Id="R9120ff0a162c49b0" /><Relationship Type="http://schemas.openxmlformats.org/officeDocument/2006/relationships/worksheet" Target="/xl/worksheets/sheet6.xml" Id="R64c9756975694639" /><Relationship Type="http://schemas.openxmlformats.org/officeDocument/2006/relationships/worksheet" Target="/xl/worksheets/sheet7.xml" Id="R1752e155a4ae45e4" /><Relationship Type="http://schemas.openxmlformats.org/officeDocument/2006/relationships/worksheet" Target="/xl/worksheets/sheet8.xml" Id="R81dc423578404739" /><Relationship Type="http://schemas.openxmlformats.org/officeDocument/2006/relationships/worksheet" Target="/xl/worksheets/sheet9.xml" Id="R32a64cebe1ab4a05" /><Relationship Type="http://schemas.openxmlformats.org/officeDocument/2006/relationships/worksheet" Target="/xl/worksheets/sheet10.xml" Id="R19cfa8579af44570" /><Relationship Type="http://schemas.openxmlformats.org/officeDocument/2006/relationships/worksheet" Target="/xl/worksheets/sheet11.xml" Id="Rfd55368581ce498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c7cf72f8c05420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 revenue vs modeled fully-utilized COGS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'Dashboard'!$H$6:$H$7</c:f>
              <c:strCache>
                <c:ptCount val="0"/>
              </c:strCache>
            </c:strRef>
          </c:cat>
          <c:val>
            <c:numRef>
              <c:f>'Dashboard'!$I$6:$I$7</c:f>
              <c:numCache>
                <c:formatCode>$#,##0</c:formatCode>
                <c:ptCount val="0"/>
              </c:numCache>
            </c:numRef>
          </c:val>
        </c:ser>
        <c:ser>
          <c:idx val="1"/>
          <c:order val="1"/>
          <c:tx>
            <c:v>Modeled COGS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'Dashboard'!$H$6:$H$7</c:f>
              <c:strCache>
                <c:ptCount val="0"/>
              </c:strCache>
            </c:strRef>
          </c:cat>
          <c:val>
            <c:numRef>
              <c:f>'Dashboard'!$J$6:$J$7</c:f>
              <c:numCache>
                <c:formatCode>$#,##0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9</xdr:row>
      <xdr:rowOff>0</xdr:rowOff>
    </xdr:from>
    <xdr:to>
      <xdr:col>12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c7cf72f8c05420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1.xml" Id="Rd45138e76feb4f64" /></Relationships>
</file>

<file path=xl/worksheets/sheet1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14" hidden="0" customWidth="1"/>
    <x:col min="3" max="3" width="14" hidden="0" customWidth="1"/>
    <x:col min="4" max="4" width="14" hidden="0" customWidth="1"/>
    <x:col min="5" max="5" width="24" hidden="0" customWidth="1"/>
    <x:col min="6" max="6" width="34" hidden="0" customWidth="1"/>
    <x:col min="7" max="7" width="22" hidden="0" customWidth="1"/>
  </x:cols>
  <x:sheetData>
    <x:row r="1" ht="32" customHeight="1">
      <x:c r="A1" s="137" t="str">
        <x:v>Arcova Pricing Model — Assumptions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  <x:c r="V1" s="138"/>
      <x:c r="W1" s="138"/>
      <x:c r="X1" s="138"/>
      <x:c r="Y1" s="138"/>
      <x:c r="Z1" s="138"/>
    </x:row>
    <x:row r="2" ht="30" customHeight="1">
      <x:c r="A2" s="139" t="str">
        <x:v>Editable inputs are yellow/blue. Currency is USD. Base case uses conservative provider economics as of 18 June 2026.</x:v>
      </x:c>
      <x:c r="B2" s="138"/>
      <x:c r="C2" s="138"/>
      <x:c r="D2" s="138"/>
      <x:c r="E2" s="138"/>
      <x:c r="F2" s="138"/>
      <x:c r="G2" s="138"/>
      <x:c r="H2" s="138"/>
      <x:c r="I2" s="138"/>
      <x:c r="J2" s="138"/>
      <x:c r="K2" s="138"/>
      <x:c r="L2" s="138"/>
      <x:c r="M2" s="138"/>
      <x:c r="N2" s="138"/>
      <x:c r="O2" s="138"/>
      <x:c r="P2" s="138"/>
      <x:c r="Q2" s="138"/>
      <x:c r="R2" s="138"/>
      <x:c r="S2" s="138"/>
      <x:c r="T2" s="138"/>
      <x:c r="U2" s="138"/>
      <x:c r="V2" s="138"/>
      <x:c r="W2" s="138"/>
      <x:c r="X2" s="138"/>
      <x:c r="Y2" s="138"/>
      <x:c r="Z2" s="138"/>
    </x:row>
    <x:row r="3">
      <x:c r="A3" s="138"/>
      <x:c r="B3" s="138"/>
      <x:c r="C3" s="138"/>
      <x:c r="D3" s="138"/>
      <x:c r="E3" s="138"/>
      <x:c r="F3" s="138"/>
      <x:c r="G3" s="138"/>
      <x:c r="H3" s="138"/>
      <x:c r="I3" s="138"/>
      <x:c r="J3" s="138"/>
      <x:c r="K3" s="138"/>
      <x:c r="L3" s="138"/>
      <x:c r="M3" s="138"/>
      <x:c r="N3" s="138"/>
      <x:c r="O3" s="138"/>
      <x:c r="P3" s="138"/>
      <x:c r="Q3" s="138"/>
      <x:c r="R3" s="138"/>
      <x:c r="S3" s="138"/>
      <x:c r="T3" s="138"/>
      <x:c r="U3" s="138"/>
      <x:c r="V3" s="138"/>
      <x:c r="W3" s="138"/>
      <x:c r="X3" s="138"/>
      <x:c r="Y3" s="138"/>
      <x:c r="Z3" s="138"/>
    </x:row>
    <x:row r="4" ht="22" customHeight="1">
      <x:c r="A4" s="140" t="str">
        <x:v>Internal cost reference</x:v>
      </x:c>
      <x:c r="B4" s="138"/>
      <x:c r="C4" s="138"/>
      <x:c r="D4" s="138"/>
      <x:c r="E4" s="138"/>
      <x:c r="F4" s="138"/>
      <x:c r="G4" s="138"/>
      <x:c r="H4" s="138"/>
      <x:c r="I4" s="138"/>
      <x:c r="J4" s="138"/>
      <x:c r="K4" s="138"/>
      <x:c r="L4" s="138"/>
      <x:c r="M4" s="138"/>
      <x:c r="N4" s="138"/>
      <x:c r="O4" s="138"/>
      <x:c r="P4" s="138"/>
      <x:c r="Q4" s="138"/>
      <x:c r="R4" s="138"/>
      <x:c r="S4" s="138"/>
      <x:c r="T4" s="138"/>
      <x:c r="U4" s="138"/>
      <x:c r="V4" s="138"/>
      <x:c r="W4" s="138"/>
      <x:c r="X4" s="138"/>
      <x:c r="Y4" s="138"/>
      <x:c r="Z4" s="138"/>
    </x:row>
    <x:row r="5">
      <x:c r="A5" s="141" t="str">
        <x:v>Input</x:v>
      </x:c>
      <x:c r="B5" s="142" t="str">
        <x:v>Value</x:v>
      </x:c>
      <x:c r="C5" s="143" t="str">
        <x:v>Notes</x:v>
      </x:c>
      <x:c r="D5" s="138"/>
      <x:c r="E5" s="138"/>
      <x:c r="F5" s="138"/>
      <x:c r="G5" s="138"/>
      <x:c r="H5" s="138"/>
      <x:c r="I5" s="138"/>
      <x:c r="J5" s="138"/>
      <x:c r="K5" s="138"/>
      <x:c r="L5" s="138"/>
      <x:c r="M5" s="138"/>
      <x:c r="N5" s="138"/>
      <x:c r="O5" s="138"/>
      <x:c r="P5" s="138"/>
      <x:c r="Q5" s="138"/>
      <x:c r="R5" s="138"/>
      <x:c r="S5" s="138"/>
      <x:c r="T5" s="138"/>
      <x:c r="U5" s="138"/>
      <x:c r="V5" s="138"/>
      <x:c r="W5" s="138"/>
      <x:c r="X5" s="138"/>
      <x:c r="Y5" s="138"/>
      <x:c r="Z5" s="138"/>
    </x:row>
    <x:row r="6">
      <x:c r="A6" s="144" t="str">
        <x:v>Internal cost reference unit (USD)</x:v>
      </x:c>
      <x:c r="B6" s="145" t="n">
        <x:v>0.01</x:v>
      </x:c>
      <x:c r="C6" s="146" t="str">
        <x:v>Convenient internal COGS normalization only. Customer credit prices are independent.</x:v>
      </x:c>
      <x:c r="D6" s="138"/>
      <x:c r="E6" s="138"/>
      <x:c r="F6" s="138"/>
      <x:c r="G6" s="138"/>
      <x:c r="H6" s="138"/>
      <x:c r="I6" s="138"/>
      <x:c r="J6" s="138"/>
      <x:c r="K6" s="138"/>
      <x:c r="L6" s="138"/>
      <x:c r="M6" s="138"/>
      <x:c r="N6" s="138"/>
      <x:c r="O6" s="138"/>
      <x:c r="P6" s="138"/>
      <x:c r="Q6" s="138"/>
      <x:c r="R6" s="138"/>
      <x:c r="S6" s="138"/>
      <x:c r="T6" s="138"/>
      <x:c r="U6" s="138"/>
      <x:c r="V6" s="138"/>
      <x:c r="W6" s="138"/>
      <x:c r="X6" s="138"/>
      <x:c r="Y6" s="138"/>
      <x:c r="Z6" s="138"/>
    </x:row>
    <x:row r="7">
      <x:c r="A7" s="147" t="str">
        <x:v>Credit expiry basis</x:v>
      </x:c>
      <x:c r="B7" s="148" t="str">
        <x:v>Separate ledger buckets</x:v>
      </x:c>
      <x:c r="C7" s="149" t="str">
        <x:v>Monthly included credits reset; annual included credits expire at term end; purchased credits expire 12 months after purchase.</x:v>
      </x:c>
      <x:c r="D7" s="138"/>
      <x:c r="E7" s="138"/>
      <x:c r="F7" s="138"/>
      <x:c r="G7" s="138"/>
      <x:c r="H7" s="138"/>
      <x:c r="I7" s="138"/>
      <x:c r="J7" s="138"/>
      <x:c r="K7" s="138"/>
      <x:c r="L7" s="138"/>
      <x:c r="M7" s="138"/>
      <x:c r="N7" s="138"/>
      <x:c r="O7" s="138"/>
      <x:c r="P7" s="138"/>
      <x:c r="Q7" s="138"/>
      <x:c r="R7" s="138"/>
      <x:c r="S7" s="138"/>
      <x:c r="T7" s="138"/>
      <x:c r="U7" s="138"/>
      <x:c r="V7" s="138"/>
      <x:c r="W7" s="138"/>
      <x:c r="X7" s="138"/>
      <x:c r="Y7" s="138"/>
      <x:c r="Z7" s="138"/>
    </x:row>
    <x:row r="8">
      <x:c r="A8" s="138"/>
      <x:c r="B8" s="138"/>
      <x:c r="C8" s="138"/>
      <x:c r="D8" s="138"/>
      <x:c r="E8" s="138"/>
      <x:c r="F8" s="138"/>
      <x:c r="G8" s="138"/>
      <x:c r="H8" s="138"/>
      <x:c r="I8" s="138"/>
      <x:c r="J8" s="138"/>
      <x:c r="K8" s="138"/>
      <x:c r="L8" s="138"/>
      <x:c r="M8" s="138"/>
      <x:c r="N8" s="138"/>
      <x:c r="O8" s="138"/>
      <x:c r="P8" s="138"/>
      <x:c r="Q8" s="138"/>
      <x:c r="R8" s="138"/>
      <x:c r="S8" s="138"/>
      <x:c r="T8" s="138"/>
      <x:c r="U8" s="138"/>
      <x:c r="V8" s="138"/>
      <x:c r="W8" s="138"/>
      <x:c r="X8" s="138"/>
      <x:c r="Y8" s="138"/>
      <x:c r="Z8" s="138"/>
    </x:row>
    <x:row r="9" ht="22" customHeight="1">
      <x:c r="A9" s="140" t="str">
        <x:v>Provider unit economics</x:v>
      </x:c>
      <x:c r="B9" s="138"/>
      <x:c r="C9" s="138"/>
      <x:c r="D9" s="138"/>
      <x:c r="E9" s="138"/>
      <x:c r="F9" s="138"/>
      <x:c r="G9" s="138"/>
      <x:c r="H9" s="138"/>
      <x:c r="I9" s="138"/>
      <x:c r="J9" s="138"/>
      <x:c r="K9" s="138"/>
      <x:c r="L9" s="138"/>
      <x:c r="M9" s="138"/>
      <x:c r="N9" s="138"/>
      <x:c r="O9" s="138"/>
      <x:c r="P9" s="138"/>
      <x:c r="Q9" s="138"/>
      <x:c r="R9" s="138"/>
      <x:c r="S9" s="138"/>
      <x:c r="T9" s="138"/>
      <x:c r="U9" s="138"/>
      <x:c r="V9" s="138"/>
      <x:c r="W9" s="138"/>
      <x:c r="X9" s="138"/>
      <x:c r="Y9" s="138"/>
      <x:c r="Z9" s="138"/>
    </x:row>
    <x:row r="10">
      <x:c r="A10" s="141" t="str">
        <x:v>Provider input</x:v>
      </x:c>
      <x:c r="B10" s="142" t="str">
        <x:v>Low</x:v>
      </x:c>
      <x:c r="C10" s="142" t="str">
        <x:v>Base</x:v>
      </x:c>
      <x:c r="D10" s="142" t="str">
        <x:v>High</x:v>
      </x:c>
      <x:c r="E10" s="142" t="str">
        <x:v>Unit</x:v>
      </x:c>
      <x:c r="F10" s="142" t="str">
        <x:v>Source / status</x:v>
      </x:c>
      <x:c r="G10" s="143" t="str">
        <x:v>Model use</x:v>
      </x:c>
      <x:c r="H10" s="138"/>
      <x:c r="I10" s="138"/>
      <x:c r="J10" s="138"/>
      <x:c r="K10" s="138"/>
      <x:c r="L10" s="138"/>
      <x:c r="M10" s="138"/>
      <x:c r="N10" s="138"/>
      <x:c r="O10" s="138"/>
      <x:c r="P10" s="138"/>
      <x:c r="Q10" s="138"/>
      <x:c r="R10" s="138"/>
      <x:c r="S10" s="138"/>
      <x:c r="T10" s="138"/>
      <x:c r="U10" s="138"/>
      <x:c r="V10" s="138"/>
      <x:c r="W10" s="138"/>
      <x:c r="X10" s="138"/>
      <x:c r="Y10" s="138"/>
      <x:c r="Z10" s="138"/>
    </x:row>
    <x:row r="11">
      <x:c r="A11" s="144" t="str">
        <x:v>Apollo add-on credit price</x:v>
      </x:c>
      <x:c r="B11" s="150" t="n">
        <x:v>0.016</x:v>
      </x:c>
      <x:c r="C11" s="150" t="n">
        <x:v>0.02</x:v>
      </x:c>
      <x:c r="D11" s="150" t="n">
        <x:v>0.025</x:v>
      </x:c>
      <x:c r="E11" s="151" t="str">
        <x:v>$ / Apollo credit</x:v>
      </x:c>
      <x:c r="F11" s="151" t="str">
        <x:v>Confirmed live Apollo pricing 2026-06-15</x:v>
      </x:c>
      <x:c r="G11" s="146" t="str">
        <x:v>Sensitivity</x:v>
      </x:c>
      <x:c r="H11" s="138"/>
      <x:c r="I11" s="138"/>
      <x:c r="J11" s="138"/>
      <x:c r="K11" s="138"/>
      <x:c r="L11" s="138"/>
      <x:c r="M11" s="138"/>
      <x:c r="N11" s="138"/>
      <x:c r="O11" s="138"/>
      <x:c r="P11" s="138"/>
      <x:c r="Q11" s="138"/>
      <x:c r="R11" s="138"/>
      <x:c r="S11" s="138"/>
      <x:c r="T11" s="138"/>
      <x:c r="U11" s="138"/>
      <x:c r="V11" s="138"/>
      <x:c r="W11" s="138"/>
      <x:c r="X11" s="138"/>
      <x:c r="Y11" s="138"/>
      <x:c r="Z11" s="138"/>
    </x:row>
    <x:row r="12">
      <x:c r="A12" s="152" t="str">
        <x:v>Apollo credits per imported enriched lead</x:v>
      </x:c>
      <x:c r="B12" s="153" t="n">
        <x:v>1.2</x:v>
      </x:c>
      <x:c r="C12" s="153" t="n">
        <x:v>1.3</x:v>
      </x:c>
      <x:c r="D12" s="153" t="n">
        <x:v>1.5</x:v>
      </x:c>
      <x:c r="E12" s="154" t="str">
        <x:v>Apollo credits</x:v>
      </x:c>
      <x:c r="F12" s="154" t="str">
        <x:v>Confirmed Arcova estimate; company deduped</x:v>
      </x:c>
      <x:c r="G12" s="155" t="str">
        <x:v>Action COGS</x:v>
      </x:c>
      <x:c r="H12" s="138"/>
      <x:c r="I12" s="138"/>
      <x:c r="J12" s="138"/>
      <x:c r="K12" s="138"/>
      <x:c r="L12" s="138"/>
      <x:c r="M12" s="138"/>
      <x:c r="N12" s="138"/>
      <x:c r="O12" s="138"/>
      <x:c r="P12" s="138"/>
      <x:c r="Q12" s="138"/>
      <x:c r="R12" s="138"/>
      <x:c r="S12" s="138"/>
      <x:c r="T12" s="138"/>
      <x:c r="U12" s="138"/>
      <x:c r="V12" s="138"/>
      <x:c r="W12" s="138"/>
      <x:c r="X12" s="138"/>
      <x:c r="Y12" s="138"/>
      <x:c r="Z12" s="138"/>
    </x:row>
    <x:row r="13">
      <x:c r="A13" s="152" t="str">
        <x:v>Apollo credits per net-new lead</x:v>
      </x:c>
      <x:c r="B13" s="153" t="n">
        <x:v>1</x:v>
      </x:c>
      <x:c r="C13" s="153" t="n">
        <x:v>1</x:v>
      </x:c>
      <x:c r="D13" s="153" t="n">
        <x:v>1.2</x:v>
      </x:c>
      <x:c r="E13" s="154" t="str">
        <x:v>Apollo credits</x:v>
      </x:c>
      <x:c r="F13" s="154" t="str">
        <x:v>Export credit assumption</x:v>
      </x:c>
      <x:c r="G13" s="155" t="str">
        <x:v>Action COGS</x:v>
      </x:c>
      <x:c r="H13" s="138"/>
      <x:c r="I13" s="138"/>
      <x:c r="J13" s="138"/>
      <x:c r="K13" s="138"/>
      <x:c r="L13" s="138"/>
      <x:c r="M13" s="138"/>
      <x:c r="N13" s="138"/>
      <x:c r="O13" s="138"/>
      <x:c r="P13" s="138"/>
      <x:c r="Q13" s="138"/>
      <x:c r="R13" s="138"/>
      <x:c r="S13" s="138"/>
      <x:c r="T13" s="138"/>
      <x:c r="U13" s="138"/>
      <x:c r="V13" s="138"/>
      <x:c r="W13" s="138"/>
      <x:c r="X13" s="138"/>
      <x:c r="Y13" s="138"/>
      <x:c r="Z13" s="138"/>
    </x:row>
    <x:row r="14">
      <x:c r="A14" s="152" t="str">
        <x:v>Apollo phone reveal</x:v>
      </x:c>
      <x:c r="B14" s="153" t="n">
        <x:v>8</x:v>
      </x:c>
      <x:c r="C14" s="153" t="n">
        <x:v>8</x:v>
      </x:c>
      <x:c r="D14" s="153" t="n">
        <x:v>8</x:v>
      </x:c>
      <x:c r="E14" s="154" t="str">
        <x:v>Apollo credits</x:v>
      </x:c>
      <x:c r="F14" s="154" t="str">
        <x:v>Confirmed</x:v>
      </x:c>
      <x:c r="G14" s="155" t="str">
        <x:v>Action COGS</x:v>
      </x:c>
      <x:c r="H14" s="138"/>
      <x:c r="I14" s="138"/>
      <x:c r="J14" s="138"/>
      <x:c r="K14" s="138"/>
      <x:c r="L14" s="138"/>
      <x:c r="M14" s="138"/>
      <x:c r="N14" s="138"/>
      <x:c r="O14" s="138"/>
      <x:c r="P14" s="138"/>
      <x:c r="Q14" s="138"/>
      <x:c r="R14" s="138"/>
      <x:c r="S14" s="138"/>
      <x:c r="T14" s="138"/>
      <x:c r="U14" s="138"/>
      <x:c r="V14" s="138"/>
      <x:c r="W14" s="138"/>
      <x:c r="X14" s="138"/>
      <x:c r="Y14" s="138"/>
      <x:c r="Z14" s="138"/>
    </x:row>
    <x:row r="15">
      <x:c r="A15" s="152" t="str">
        <x:v>Apify imported lead</x:v>
      </x:c>
      <x:c r="B15" s="156" t="n">
        <x:v>0.004</x:v>
      </x:c>
      <x:c r="C15" s="156" t="n">
        <x:v>0.005</x:v>
      </x:c>
      <x:c r="D15" s="156" t="n">
        <x:v>0.008</x:v>
      </x:c>
      <x:c r="E15" s="154" t="str">
        <x:v>$ / lead</x:v>
      </x:c>
      <x:c r="F15" s="154" t="str">
        <x:v>Profile + deduped company</x:v>
      </x:c>
      <x:c r="G15" s="155" t="str">
        <x:v>Action COGS</x:v>
      </x:c>
      <x:c r="H15" s="138"/>
      <x:c r="I15" s="138"/>
      <x:c r="J15" s="138"/>
      <x:c r="K15" s="138"/>
      <x:c r="L15" s="138"/>
      <x:c r="M15" s="138"/>
      <x:c r="N15" s="138"/>
      <x:c r="O15" s="138"/>
      <x:c r="P15" s="138"/>
      <x:c r="Q15" s="138"/>
      <x:c r="R15" s="138"/>
      <x:c r="S15" s="138"/>
      <x:c r="T15" s="138"/>
      <x:c r="U15" s="138"/>
      <x:c r="V15" s="138"/>
      <x:c r="W15" s="138"/>
      <x:c r="X15" s="138"/>
      <x:c r="Y15" s="138"/>
      <x:c r="Z15" s="138"/>
    </x:row>
    <x:row r="16">
      <x:c r="A16" s="152" t="str">
        <x:v>Apify monitoring profile sweep</x:v>
      </x:c>
      <x:c r="B16" s="156" t="n">
        <x:v>0.004</x:v>
      </x:c>
      <x:c r="C16" s="156" t="n">
        <x:v>0.004</x:v>
      </x:c>
      <x:c r="D16" s="156" t="n">
        <x:v>0.004</x:v>
      </x:c>
      <x:c r="E16" s="154" t="str">
        <x:v>$ / contact sweep</x:v>
      </x:c>
      <x:c r="F16" s="154" t="str">
        <x:v>Confirmed HarvestAPI</x:v>
      </x:c>
      <x:c r="G16" s="155" t="str">
        <x:v>Monitoring COGS</x:v>
      </x:c>
      <x:c r="H16" s="138"/>
      <x:c r="I16" s="138"/>
      <x:c r="J16" s="138"/>
      <x:c r="K16" s="138"/>
      <x:c r="L16" s="138"/>
      <x:c r="M16" s="138"/>
      <x:c r="N16" s="138"/>
      <x:c r="O16" s="138"/>
      <x:c r="P16" s="138"/>
      <x:c r="Q16" s="138"/>
      <x:c r="R16" s="138"/>
      <x:c r="S16" s="138"/>
      <x:c r="T16" s="138"/>
      <x:c r="U16" s="138"/>
      <x:c r="V16" s="138"/>
      <x:c r="W16" s="138"/>
      <x:c r="X16" s="138"/>
      <x:c r="Y16" s="138"/>
      <x:c r="Z16" s="138"/>
    </x:row>
    <x:row r="17">
      <x:c r="A17" s="152" t="str">
        <x:v>ZeroBounce validation</x:v>
      </x:c>
      <x:c r="B17" s="156" t="n">
        <x:v>0.003</x:v>
      </x:c>
      <x:c r="C17" s="156" t="n">
        <x:v>0.005</x:v>
      </x:c>
      <x:c r="D17" s="156" t="n">
        <x:v>0.0075</x:v>
      </x:c>
      <x:c r="E17" s="154" t="str">
        <x:v>$ / billable validation</x:v>
      </x:c>
      <x:c r="F17" s="154" t="str">
        <x:v>PAYG range</x:v>
      </x:c>
      <x:c r="G17" s="155" t="str">
        <x:v>Action COGS</x:v>
      </x:c>
      <x:c r="H17" s="138"/>
      <x:c r="I17" s="138"/>
      <x:c r="J17" s="138"/>
      <x:c r="K17" s="138"/>
      <x:c r="L17" s="138"/>
      <x:c r="M17" s="138"/>
      <x:c r="N17" s="138"/>
      <x:c r="O17" s="138"/>
      <x:c r="P17" s="138"/>
      <x:c r="Q17" s="138"/>
      <x:c r="R17" s="138"/>
      <x:c r="S17" s="138"/>
      <x:c r="T17" s="138"/>
      <x:c r="U17" s="138"/>
      <x:c r="V17" s="138"/>
      <x:c r="W17" s="138"/>
      <x:c r="X17" s="138"/>
      <x:c r="Y17" s="138"/>
      <x:c r="Z17" s="138"/>
    </x:row>
    <x:row r="18">
      <x:c r="A18" s="152" t="str">
        <x:v>ZeroBounce finder</x:v>
      </x:c>
      <x:c r="B18" s="156" t="n">
        <x:v>20</x:v>
      </x:c>
      <x:c r="C18" s="156" t="n">
        <x:v>20</x:v>
      </x:c>
      <x:c r="D18" s="156" t="n">
        <x:v>20</x:v>
      </x:c>
      <x:c r="E18" s="154" t="str">
        <x:v>ZeroBounce credits / success</x:v>
      </x:c>
      <x:c r="F18" s="154" t="str">
        <x:v>Current Arcova provider meter</x:v>
      </x:c>
      <x:c r="G18" s="155" t="str">
        <x:v>Action COGS</x:v>
      </x:c>
      <x:c r="H18" s="138"/>
      <x:c r="I18" s="138"/>
      <x:c r="J18" s="138"/>
      <x:c r="K18" s="138"/>
      <x:c r="L18" s="138"/>
      <x:c r="M18" s="138"/>
      <x:c r="N18" s="138"/>
      <x:c r="O18" s="138"/>
      <x:c r="P18" s="138"/>
      <x:c r="Q18" s="138"/>
      <x:c r="R18" s="138"/>
      <x:c r="S18" s="138"/>
      <x:c r="T18" s="138"/>
      <x:c r="U18" s="138"/>
      <x:c r="V18" s="138"/>
      <x:c r="W18" s="138"/>
      <x:c r="X18" s="138"/>
      <x:c r="Y18" s="138"/>
      <x:c r="Z18" s="138"/>
    </x:row>
    <x:row r="19">
      <x:c r="A19" s="152" t="str">
        <x:v>Haiku 4.5 input</x:v>
      </x:c>
      <x:c r="B19" s="157" t="n">
        <x:v>1</x:v>
      </x:c>
      <x:c r="C19" s="157" t="n">
        <x:v>1</x:v>
      </x:c>
      <x:c r="D19" s="157" t="n">
        <x:v>1</x:v>
      </x:c>
      <x:c r="E19" s="154" t="str">
        <x:v>$ / MTok</x:v>
      </x:c>
      <x:c r="F19" s="154" t="str">
        <x:v>Anthropic official pricing</x:v>
      </x:c>
      <x:c r="G19" s="155" t="str">
        <x:v>Triage</x:v>
      </x:c>
      <x:c r="H19" s="138"/>
      <x:c r="I19" s="138"/>
      <x:c r="J19" s="138"/>
      <x:c r="K19" s="138"/>
      <x:c r="L19" s="138"/>
      <x:c r="M19" s="138"/>
      <x:c r="N19" s="138"/>
      <x:c r="O19" s="138"/>
      <x:c r="P19" s="138"/>
      <x:c r="Q19" s="138"/>
      <x:c r="R19" s="138"/>
      <x:c r="S19" s="138"/>
      <x:c r="T19" s="138"/>
      <x:c r="U19" s="138"/>
      <x:c r="V19" s="138"/>
      <x:c r="W19" s="138"/>
      <x:c r="X19" s="138"/>
      <x:c r="Y19" s="138"/>
      <x:c r="Z19" s="138"/>
    </x:row>
    <x:row r="20">
      <x:c r="A20" s="147" t="str">
        <x:v>Haiku 4.5 output</x:v>
      </x:c>
      <x:c r="B20" s="158" t="n">
        <x:v>5</x:v>
      </x:c>
      <x:c r="C20" s="158" t="n">
        <x:v>5</x:v>
      </x:c>
      <x:c r="D20" s="158" t="n">
        <x:v>5</x:v>
      </x:c>
      <x:c r="E20" s="159" t="str">
        <x:v>$ / MTok</x:v>
      </x:c>
      <x:c r="F20" s="159" t="str">
        <x:v>Anthropic official pricing</x:v>
      </x:c>
      <x:c r="G20" s="149" t="str">
        <x:v>Triage</x:v>
      </x:c>
      <x:c r="H20" s="138"/>
      <x:c r="I20" s="138"/>
      <x:c r="J20" s="138"/>
      <x:c r="K20" s="138"/>
      <x:c r="L20" s="138"/>
      <x:c r="M20" s="138"/>
      <x:c r="N20" s="138"/>
      <x:c r="O20" s="138"/>
      <x:c r="P20" s="138"/>
      <x:c r="Q20" s="138"/>
      <x:c r="R20" s="138"/>
      <x:c r="S20" s="138"/>
      <x:c r="T20" s="138"/>
      <x:c r="U20" s="138"/>
      <x:c r="V20" s="138"/>
      <x:c r="W20" s="138"/>
      <x:c r="X20" s="138"/>
      <x:c r="Y20" s="138"/>
      <x:c r="Z20" s="138"/>
    </x:row>
    <x:row r="21">
      <x:c r="A21" s="138"/>
      <x:c r="B21" s="138"/>
      <x:c r="C21" s="138"/>
      <x:c r="D21" s="138"/>
      <x:c r="E21" s="138"/>
      <x:c r="F21" s="138"/>
      <x:c r="G21" s="138"/>
      <x:c r="H21" s="138"/>
      <x:c r="I21" s="138"/>
      <x:c r="J21" s="138"/>
      <x:c r="K21" s="138"/>
      <x:c r="L21" s="138"/>
      <x:c r="M21" s="138"/>
      <x:c r="N21" s="138"/>
      <x:c r="O21" s="138"/>
      <x:c r="P21" s="138"/>
      <x:c r="Q21" s="138"/>
      <x:c r="R21" s="138"/>
      <x:c r="S21" s="138"/>
      <x:c r="T21" s="138"/>
      <x:c r="U21" s="138"/>
      <x:c r="V21" s="138"/>
      <x:c r="W21" s="138"/>
      <x:c r="X21" s="138"/>
      <x:c r="Y21" s="138"/>
      <x:c r="Z21" s="138"/>
    </x:row>
    <x:row r="22" ht="22" customHeight="1">
      <x:c r="A22" s="140" t="str">
        <x:v>Operating assumptions</x:v>
      </x:c>
      <x:c r="B22" s="138"/>
      <x:c r="C22" s="138"/>
      <x:c r="D22" s="138"/>
      <x:c r="E22" s="138"/>
      <x:c r="F22" s="138"/>
      <x:c r="G22" s="138"/>
      <x:c r="H22" s="138"/>
      <x:c r="I22" s="138"/>
      <x:c r="J22" s="138"/>
      <x:c r="K22" s="138"/>
      <x:c r="L22" s="138"/>
      <x:c r="M22" s="138"/>
      <x:c r="N22" s="138"/>
      <x:c r="O22" s="138"/>
      <x:c r="P22" s="138"/>
      <x:c r="Q22" s="138"/>
      <x:c r="R22" s="138"/>
      <x:c r="S22" s="138"/>
      <x:c r="T22" s="138"/>
      <x:c r="U22" s="138"/>
      <x:c r="V22" s="138"/>
      <x:c r="W22" s="138"/>
      <x:c r="X22" s="138"/>
      <x:c r="Y22" s="138"/>
      <x:c r="Z22" s="138"/>
    </x:row>
    <x:row r="23">
      <x:c r="A23" s="141" t="str">
        <x:v>Input</x:v>
      </x:c>
      <x:c r="B23" s="142" t="str">
        <x:v>Base</x:v>
      </x:c>
      <x:c r="C23" s="143" t="str">
        <x:v>Notes</x:v>
      </x:c>
      <x:c r="D23" s="138"/>
      <x:c r="E23" s="138"/>
      <x:c r="F23" s="138"/>
      <x:c r="G23" s="138"/>
      <x:c r="H23" s="138"/>
      <x:c r="I23" s="138"/>
      <x:c r="J23" s="138"/>
      <x:c r="K23" s="138"/>
      <x:c r="L23" s="138"/>
      <x:c r="M23" s="138"/>
      <x:c r="N23" s="138"/>
      <x:c r="O23" s="138"/>
      <x:c r="P23" s="138"/>
      <x:c r="Q23" s="138"/>
      <x:c r="R23" s="138"/>
      <x:c r="S23" s="138"/>
      <x:c r="T23" s="138"/>
      <x:c r="U23" s="138"/>
      <x:c r="V23" s="138"/>
      <x:c r="W23" s="138"/>
      <x:c r="X23" s="138"/>
      <x:c r="Y23" s="138"/>
      <x:c r="Z23" s="138"/>
    </x:row>
    <x:row r="24">
      <x:c r="A24" s="144" t="str">
        <x:v>Triage input tokens per record</x:v>
      </x:c>
      <x:c r="B24" s="160" t="n">
        <x:v>300</x:v>
      </x:c>
      <x:c r="C24" s="146" t="str">
        <x:v>Batched cheap pre-triage using CRM title/company fields.</x:v>
      </x:c>
      <x:c r="D24" s="138"/>
      <x:c r="E24" s="138"/>
      <x:c r="F24" s="138"/>
      <x:c r="G24" s="138"/>
      <x:c r="H24" s="138"/>
      <x:c r="I24" s="138"/>
      <x:c r="J24" s="138"/>
      <x:c r="K24" s="138"/>
      <x:c r="L24" s="138"/>
      <x:c r="M24" s="138"/>
      <x:c r="N24" s="138"/>
      <x:c r="O24" s="138"/>
      <x:c r="P24" s="138"/>
      <x:c r="Q24" s="138"/>
      <x:c r="R24" s="138"/>
      <x:c r="S24" s="138"/>
      <x:c r="T24" s="138"/>
      <x:c r="U24" s="138"/>
      <x:c r="V24" s="138"/>
      <x:c r="W24" s="138"/>
      <x:c r="X24" s="138"/>
      <x:c r="Y24" s="138"/>
      <x:c r="Z24" s="138"/>
    </x:row>
    <x:row r="25">
      <x:c r="A25" s="152" t="str">
        <x:v>Triage output tokens per record</x:v>
      </x:c>
      <x:c r="B25" s="161" t="n">
        <x:v>80</x:v>
      </x:c>
      <x:c r="C25" s="155" t="str">
        <x:v>Includes compact score/reason result.</x:v>
      </x:c>
      <x:c r="D25" s="138"/>
      <x:c r="E25" s="138"/>
      <x:c r="F25" s="138"/>
      <x:c r="G25" s="138"/>
      <x:c r="H25" s="138"/>
      <x:c r="I25" s="138"/>
      <x:c r="J25" s="138"/>
      <x:c r="K25" s="138"/>
      <x:c r="L25" s="138"/>
      <x:c r="M25" s="138"/>
      <x:c r="N25" s="138"/>
      <x:c r="O25" s="138"/>
      <x:c r="P25" s="138"/>
      <x:c r="Q25" s="138"/>
      <x:c r="R25" s="138"/>
      <x:c r="S25" s="138"/>
      <x:c r="T25" s="138"/>
      <x:c r="U25" s="138"/>
      <x:c r="V25" s="138"/>
      <x:c r="W25" s="138"/>
      <x:c r="X25" s="138"/>
      <x:c r="Y25" s="138"/>
      <x:c r="Z25" s="138"/>
    </x:row>
    <x:row r="26">
      <x:c r="A26" s="152" t="str">
        <x:v>Triage batch size</x:v>
      </x:c>
      <x:c r="B26" s="161" t="n">
        <x:v>10</x:v>
      </x:c>
      <x:c r="C26" s="155" t="str">
        <x:v>Current contact classification batch size.</x:v>
      </x:c>
      <x:c r="D26" s="138"/>
      <x:c r="E26" s="138"/>
      <x:c r="F26" s="138"/>
      <x:c r="G26" s="138"/>
      <x:c r="H26" s="138"/>
      <x:c r="I26" s="138"/>
      <x:c r="J26" s="138"/>
      <x:c r="K26" s="138"/>
      <x:c r="L26" s="138"/>
      <x:c r="M26" s="138"/>
      <x:c r="N26" s="138"/>
      <x:c r="O26" s="138"/>
      <x:c r="P26" s="138"/>
      <x:c r="Q26" s="138"/>
      <x:c r="R26" s="138"/>
      <x:c r="S26" s="138"/>
      <x:c r="T26" s="138"/>
      <x:c r="U26" s="138"/>
      <x:c r="V26" s="138"/>
      <x:c r="W26" s="138"/>
      <x:c r="X26" s="138"/>
      <x:c r="Y26" s="138"/>
      <x:c r="Z26" s="138"/>
    </x:row>
    <x:row r="27">
      <x:c r="A27" s="152" t="str">
        <x:v>Monthly job/company change rate</x:v>
      </x:c>
      <x:c r="B27" s="162" t="n">
        <x:v>0.01</x:v>
      </x:c>
      <x:c r="C27" s="155" t="str">
        <x:v>Contacts requiring knock-on full refresh.</x:v>
      </x:c>
      <x:c r="D27" s="138"/>
      <x:c r="E27" s="138"/>
      <x:c r="F27" s="138"/>
      <x:c r="G27" s="138"/>
      <x:c r="H27" s="138"/>
      <x:c r="I27" s="138"/>
      <x:c r="J27" s="138"/>
      <x:c r="K27" s="138"/>
      <x:c r="L27" s="138"/>
      <x:c r="M27" s="138"/>
      <x:c r="N27" s="138"/>
      <x:c r="O27" s="138"/>
      <x:c r="P27" s="138"/>
      <x:c r="Q27" s="138"/>
      <x:c r="R27" s="138"/>
      <x:c r="S27" s="138"/>
      <x:c r="T27" s="138"/>
      <x:c r="U27" s="138"/>
      <x:c r="V27" s="138"/>
      <x:c r="W27" s="138"/>
      <x:c r="X27" s="138"/>
      <x:c r="Y27" s="138"/>
      <x:c r="Z27" s="138"/>
    </x:row>
    <x:row r="28">
      <x:c r="A28" s="152" t="str">
        <x:v>Weeks per month</x:v>
      </x:c>
      <x:c r="B28" s="262" t="n">
        <x:v>4.33</x:v>
      </x:c>
      <x:c r="C28" s="155" t="str">
        <x:v>Used for weekly monitoring.</x:v>
      </x:c>
      <x:c r="D28" s="138"/>
      <x:c r="E28" s="138"/>
      <x:c r="F28" s="138"/>
      <x:c r="G28" s="138"/>
      <x:c r="H28" s="138"/>
      <x:c r="I28" s="138"/>
      <x:c r="J28" s="138"/>
      <x:c r="K28" s="138"/>
      <x:c r="L28" s="138"/>
      <x:c r="M28" s="138"/>
      <x:c r="N28" s="138"/>
      <x:c r="O28" s="138"/>
      <x:c r="P28" s="138"/>
      <x:c r="Q28" s="138"/>
      <x:c r="R28" s="138"/>
      <x:c r="S28" s="138"/>
      <x:c r="T28" s="138"/>
      <x:c r="U28" s="138"/>
      <x:c r="V28" s="138"/>
      <x:c r="W28" s="138"/>
      <x:c r="X28" s="138"/>
      <x:c r="Y28" s="138"/>
      <x:c r="Z28" s="138"/>
    </x:row>
    <x:row r="29">
      <x:c r="A29" s="152" t="str">
        <x:v>Validation share of enriched leads</x:v>
      </x:c>
      <x:c r="B29" s="153" t="n">
        <x:v>0.3</x:v>
      </x:c>
      <x:c r="C29" s="155" t="str">
        <x:v>Only records not already sufficiently validated.</x:v>
      </x:c>
      <x:c r="D29" s="138"/>
      <x:c r="E29" s="138"/>
      <x:c r="F29" s="138"/>
      <x:c r="G29" s="138"/>
      <x:c r="H29" s="138"/>
      <x:c r="I29" s="138"/>
      <x:c r="J29" s="138"/>
      <x:c r="K29" s="138"/>
      <x:c r="L29" s="138"/>
      <x:c r="M29" s="138"/>
      <x:c r="N29" s="138"/>
      <x:c r="O29" s="138"/>
      <x:c r="P29" s="138"/>
      <x:c r="Q29" s="138"/>
      <x:c r="R29" s="138"/>
      <x:c r="S29" s="138"/>
      <x:c r="T29" s="138"/>
      <x:c r="U29" s="138"/>
      <x:c r="V29" s="138"/>
      <x:c r="W29" s="138"/>
      <x:c r="X29" s="138"/>
      <x:c r="Y29" s="138"/>
      <x:c r="Z29" s="138"/>
    </x:row>
    <x:row r="30">
      <x:c r="A30" s="152" t="str">
        <x:v>Average contacts per acquired company</x:v>
      </x:c>
      <x:c r="B30" s="161" t="n">
        <x:v>2</x:v>
      </x:c>
      <x:c r="C30" s="155" t="str">
        <x:v>Drives company search/enrich touchpoints.</x:v>
      </x:c>
      <x:c r="D30" s="138"/>
      <x:c r="E30" s="138"/>
      <x:c r="F30" s="138"/>
      <x:c r="G30" s="138"/>
      <x:c r="H30" s="138"/>
      <x:c r="I30" s="138"/>
      <x:c r="J30" s="138"/>
      <x:c r="K30" s="138"/>
      <x:c r="L30" s="138"/>
      <x:c r="M30" s="138"/>
      <x:c r="N30" s="138"/>
      <x:c r="O30" s="138"/>
      <x:c r="P30" s="138"/>
      <x:c r="Q30" s="138"/>
      <x:c r="R30" s="138"/>
      <x:c r="S30" s="138"/>
      <x:c r="T30" s="138"/>
      <x:c r="U30" s="138"/>
      <x:c r="V30" s="138"/>
      <x:c r="W30" s="138"/>
      <x:c r="X30" s="138"/>
      <x:c r="Y30" s="138"/>
      <x:c r="Z30" s="138"/>
    </x:row>
    <x:row r="31">
      <x:c r="A31" s="152" t="str">
        <x:v>Starter import-credit reserve</x:v>
      </x:c>
      <x:c r="B31" s="162" t="n">
        <x:v>0.4</x:v>
      </x:c>
      <x:c r="C31" s="155" t="str">
        <x:v>Minimum included pool preserved for non-import actions.</x:v>
      </x:c>
      <x:c r="D31" s="138"/>
      <x:c r="E31" s="138"/>
      <x:c r="F31" s="138"/>
      <x:c r="G31" s="138"/>
      <x:c r="H31" s="138"/>
      <x:c r="I31" s="138"/>
      <x:c r="J31" s="138"/>
      <x:c r="K31" s="138"/>
      <x:c r="L31" s="138"/>
      <x:c r="M31" s="138"/>
      <x:c r="N31" s="138"/>
      <x:c r="O31" s="138"/>
      <x:c r="P31" s="138"/>
      <x:c r="Q31" s="138"/>
      <x:c r="R31" s="138"/>
      <x:c r="S31" s="138"/>
      <x:c r="T31" s="138"/>
      <x:c r="U31" s="138"/>
      <x:c r="V31" s="138"/>
      <x:c r="W31" s="138"/>
      <x:c r="X31" s="138"/>
      <x:c r="Y31" s="138"/>
      <x:c r="Z31" s="138"/>
    </x:row>
    <x:row r="32">
      <x:c r="A32" s="152" t="str">
        <x:v>Growth import-credit reserve</x:v>
      </x:c>
      <x:c r="B32" s="162" t="n">
        <x:v>0.3</x:v>
      </x:c>
      <x:c r="C32" s="155" t="str">
        <x:v>Minimum included pool preserved for non-import actions.</x:v>
      </x:c>
      <x:c r="D32" s="138"/>
      <x:c r="E32" s="138"/>
      <x:c r="F32" s="138"/>
      <x:c r="G32" s="138"/>
      <x:c r="H32" s="138"/>
      <x:c r="I32" s="138"/>
      <x:c r="J32" s="138"/>
      <x:c r="K32" s="138"/>
      <x:c r="L32" s="138"/>
      <x:c r="M32" s="138"/>
      <x:c r="N32" s="138"/>
      <x:c r="O32" s="138"/>
      <x:c r="P32" s="138"/>
      <x:c r="Q32" s="138"/>
      <x:c r="R32" s="138"/>
      <x:c r="S32" s="138"/>
      <x:c r="T32" s="138"/>
      <x:c r="U32" s="138"/>
      <x:c r="V32" s="138"/>
      <x:c r="W32" s="138"/>
      <x:c r="X32" s="138"/>
      <x:c r="Y32" s="138"/>
      <x:c r="Z32" s="138"/>
    </x:row>
    <x:row r="33">
      <x:c r="A33" s="152" t="str">
        <x:v>Sonnet input tokens per outreach sequence</x:v>
      </x:c>
      <x:c r="B33" s="161" t="n">
        <x:v>6000</x:v>
      </x:c>
      <x:c r="C33" s="155" t="str">
        <x:v>Conservative estimate for rich Arcova context.</x:v>
      </x:c>
      <x:c r="D33" s="138"/>
      <x:c r="E33" s="138"/>
      <x:c r="F33" s="138"/>
      <x:c r="G33" s="138"/>
      <x:c r="H33" s="138"/>
      <x:c r="I33" s="138"/>
      <x:c r="J33" s="138"/>
      <x:c r="K33" s="138"/>
      <x:c r="L33" s="138"/>
      <x:c r="M33" s="138"/>
      <x:c r="N33" s="138"/>
      <x:c r="O33" s="138"/>
      <x:c r="P33" s="138"/>
      <x:c r="Q33" s="138"/>
      <x:c r="R33" s="138"/>
      <x:c r="S33" s="138"/>
      <x:c r="T33" s="138"/>
      <x:c r="U33" s="138"/>
      <x:c r="V33" s="138"/>
      <x:c r="W33" s="138"/>
      <x:c r="X33" s="138"/>
      <x:c r="Y33" s="138"/>
      <x:c r="Z33" s="138"/>
    </x:row>
    <x:row r="34">
      <x:c r="A34" s="147" t="str">
        <x:v>Sonnet output tokens per outreach sequence</x:v>
      </x:c>
      <x:c r="B34" s="148" t="n">
        <x:v>3000</x:v>
      </x:c>
      <x:c r="C34" s="149" t="str">
        <x:v>Up to seven messages.</x:v>
      </x:c>
      <x:c r="D34" s="138"/>
      <x:c r="E34" s="138"/>
      <x:c r="F34" s="138"/>
      <x:c r="G34" s="138"/>
      <x:c r="H34" s="138"/>
      <x:c r="I34" s="138"/>
      <x:c r="J34" s="138"/>
      <x:c r="K34" s="138"/>
      <x:c r="L34" s="138"/>
      <x:c r="M34" s="138"/>
      <x:c r="N34" s="138"/>
      <x:c r="O34" s="138"/>
      <x:c r="P34" s="138"/>
      <x:c r="Q34" s="138"/>
      <x:c r="R34" s="138"/>
      <x:c r="S34" s="138"/>
      <x:c r="T34" s="138"/>
      <x:c r="U34" s="138"/>
      <x:c r="V34" s="138"/>
      <x:c r="W34" s="138"/>
      <x:c r="X34" s="138"/>
      <x:c r="Y34" s="138"/>
      <x:c r="Z34" s="138"/>
    </x:row>
    <x:row r="35">
      <x:c r="A35" s="138"/>
      <x:c r="B35" s="138"/>
      <x:c r="C35" s="138"/>
      <x:c r="D35" s="138"/>
      <x:c r="E35" s="138"/>
      <x:c r="F35" s="138"/>
      <x:c r="G35" s="138"/>
      <x:c r="H35" s="138"/>
      <x:c r="I35" s="138"/>
      <x:c r="J35" s="138"/>
      <x:c r="K35" s="138"/>
      <x:c r="L35" s="138"/>
      <x:c r="M35" s="138"/>
      <x:c r="N35" s="138"/>
      <x:c r="O35" s="138"/>
      <x:c r="P35" s="138"/>
      <x:c r="Q35" s="138"/>
      <x:c r="R35" s="138"/>
      <x:c r="S35" s="138"/>
      <x:c r="T35" s="138"/>
      <x:c r="U35" s="138"/>
      <x:c r="V35" s="138"/>
      <x:c r="W35" s="138"/>
      <x:c r="X35" s="138"/>
      <x:c r="Y35" s="138"/>
      <x:c r="Z35" s="138"/>
    </x:row>
    <x:row r="36" ht="24" customHeight="1">
      <x:c r="A36" s="239" t="str">
        <x:v>Provisional non-provider contribution-cost allowances</x:v>
      </x:c>
      <x:c r="B36" s="240"/>
      <x:c r="C36" s="240"/>
      <x:c r="D36" s="240"/>
      <x:c r="E36" s="240"/>
      <x:c r="F36" s="240"/>
      <x:c r="G36" s="241"/>
      <x:c r="H36" s="138"/>
      <x:c r="I36" s="138"/>
      <x:c r="J36" s="138"/>
      <x:c r="K36" s="138"/>
      <x:c r="L36" s="138"/>
      <x:c r="M36" s="138"/>
      <x:c r="N36" s="138"/>
      <x:c r="O36" s="138"/>
      <x:c r="P36" s="138"/>
      <x:c r="Q36" s="138"/>
      <x:c r="R36" s="138"/>
      <x:c r="S36" s="138"/>
      <x:c r="T36" s="138"/>
      <x:c r="U36" s="138"/>
      <x:c r="V36" s="138"/>
      <x:c r="W36" s="138"/>
      <x:c r="X36" s="138"/>
      <x:c r="Y36" s="138"/>
      <x:c r="Z36" s="138"/>
    </x:row>
    <x:row r="37" ht="34" customHeight="1">
      <x:c r="A37" s="242" t="str">
        <x:v>Input</x:v>
      </x:c>
      <x:c r="B37" s="243" t="str">
        <x:v>Base $ / workspace / month</x:v>
      </x:c>
      <x:c r="C37" s="243" t="str">
        <x:v>Purpose</x:v>
      </x:c>
      <x:c r="D37" s="243" t="str">
        <x:v>Status</x:v>
      </x:c>
      <x:c r="E37" s="243" t="str">
        <x:v>Intended inclusions</x:v>
      </x:c>
      <x:c r="F37" s="243" t="str">
        <x:v>Explicit exclusions</x:v>
      </x:c>
      <x:c r="G37" s="244" t="str">
        <x:v>Model use</x:v>
      </x:c>
      <x:c r="H37" s="138"/>
      <x:c r="I37" s="138"/>
      <x:c r="J37" s="138"/>
      <x:c r="K37" s="138"/>
      <x:c r="L37" s="138"/>
      <x:c r="M37" s="138"/>
      <x:c r="N37" s="138"/>
      <x:c r="O37" s="138"/>
      <x:c r="P37" s="138"/>
      <x:c r="Q37" s="138"/>
      <x:c r="R37" s="138"/>
      <x:c r="S37" s="138"/>
      <x:c r="T37" s="138"/>
      <x:c r="U37" s="138"/>
      <x:c r="V37" s="138"/>
      <x:c r="W37" s="138"/>
      <x:c r="X37" s="138"/>
      <x:c r="Y37" s="138"/>
      <x:c r="Z37" s="138"/>
    </x:row>
    <x:row r="38" ht="108" customHeight="1">
      <x:c r="A38" s="245" t="str">
        <x:v>Free allowance</x:v>
      </x:c>
      <x:c r="B38" s="246" t="n">
        <x:v>1</x:v>
      </x:c>
      <x:c r="C38" s="247" t="str">
        <x:v>Small planning reserve for variable infrastructure associated with a free workspace.</x:v>
      </x:c>
      <x:c r="D38" s="247" t="str">
        <x:v>Provisional, unsourced placeholder — replace with measured per-workspace telemetry.</x:v>
      </x:c>
      <x:c r="E38" s="247" t="str">
        <x:v>Incremental hosting, database, storage, background-job and observability usage not captured in provider-action COGS.</x:v>
      </x:c>
      <x:c r="F38" s="247" t="str">
        <x:v>Payment processing, support/customer success, fixed company overhead, salaries, and separately unmodeled account-monitoring COGS.</x:v>
      </x:c>
      <x:c r="G38" s="248" t="str">
        <x:v>Tier Model and plan-margin outputs.</x:v>
      </x:c>
      <x:c r="H38" s="138"/>
      <x:c r="I38" s="138"/>
      <x:c r="J38" s="138"/>
      <x:c r="K38" s="138"/>
      <x:c r="L38" s="138"/>
      <x:c r="M38" s="138"/>
      <x:c r="N38" s="138"/>
      <x:c r="O38" s="138"/>
      <x:c r="P38" s="138"/>
      <x:c r="Q38" s="138"/>
      <x:c r="R38" s="138"/>
      <x:c r="S38" s="138"/>
      <x:c r="T38" s="138"/>
      <x:c r="U38" s="138"/>
      <x:c r="V38" s="138"/>
      <x:c r="W38" s="138"/>
      <x:c r="X38" s="138"/>
      <x:c r="Y38" s="138"/>
      <x:c r="Z38" s="138"/>
    </x:row>
    <x:row r="39" ht="108" customHeight="1">
      <x:c r="A39" s="245" t="str">
        <x:v>Starter allowance</x:v>
      </x:c>
      <x:c r="B39" s="246" t="n">
        <x:v>18</x:v>
      </x:c>
      <x:c r="C39" s="247" t="str">
        <x:v>Conservative planning reserve for non-provider variable costs associated with a paid Starter workspace.</x:v>
      </x:c>
      <x:c r="D39" s="247" t="str">
        <x:v>Provisional, unsourced placeholder — not based on an invoice allocation or measured unit-cost study.</x:v>
      </x:c>
      <x:c r="E39" s="247" t="str">
        <x:v>Incremental hosting, database, storage, background-job and observability usage not captured in provider-action COGS.</x:v>
      </x:c>
      <x:c r="F39" s="247" t="str">
        <x:v>Stripe/payment fees, support/customer success, fixed company overhead, salaries, and separately unmodeled account-monitoring COGS.</x:v>
      </x:c>
      <x:c r="G39" s="248" t="str">
        <x:v>Tier Model and Starter sensitivity.</x:v>
      </x:c>
      <x:c r="H39" s="138"/>
      <x:c r="I39" s="138"/>
      <x:c r="J39" s="138"/>
      <x:c r="K39" s="138"/>
      <x:c r="L39" s="138"/>
      <x:c r="M39" s="138"/>
      <x:c r="N39" s="138"/>
      <x:c r="O39" s="138"/>
      <x:c r="P39" s="138"/>
      <x:c r="Q39" s="138"/>
      <x:c r="R39" s="138"/>
      <x:c r="S39" s="138"/>
      <x:c r="T39" s="138"/>
      <x:c r="U39" s="138"/>
      <x:c r="V39" s="138"/>
      <x:c r="W39" s="138"/>
      <x:c r="X39" s="138"/>
      <x:c r="Y39" s="138"/>
      <x:c r="Z39" s="138"/>
    </x:row>
    <x:row r="40" ht="108" customHeight="1">
      <x:c r="A40" s="249" t="str">
        <x:v>Growth allowance</x:v>
      </x:c>
      <x:c r="B40" s="250" t="n">
        <x:v>41</x:v>
      </x:c>
      <x:c r="C40" s="251" t="str">
        <x:v>Conservative planning reserve for non-provider variable costs associated with a larger Growth workspace.</x:v>
      </x:c>
      <x:c r="D40" s="251" t="str">
        <x:v>Provisional, unsourced placeholder — not based on an invoice allocation or measured unit-cost study.</x:v>
      </x:c>
      <x:c r="E40" s="251" t="str">
        <x:v>Incremental hosting, database, storage, background-job and observability usage not captured in provider-action COGS.</x:v>
      </x:c>
      <x:c r="F40" s="251" t="str">
        <x:v>Stripe/payment fees, support/customer success, fixed company overhead, salaries, and separately unmodeled account-monitoring COGS.</x:v>
      </x:c>
      <x:c r="G40" s="252" t="str">
        <x:v>Tier Model and Growth sensitivity.</x:v>
      </x:c>
      <x:c r="H40" s="138"/>
      <x:c r="I40" s="138"/>
      <x:c r="J40" s="138"/>
      <x:c r="K40" s="138"/>
      <x:c r="L40" s="138"/>
      <x:c r="M40" s="138"/>
      <x:c r="N40" s="138"/>
      <x:c r="O40" s="138"/>
      <x:c r="P40" s="138"/>
      <x:c r="Q40" s="138"/>
      <x:c r="R40" s="138"/>
      <x:c r="S40" s="138"/>
      <x:c r="T40" s="138"/>
      <x:c r="U40" s="138"/>
      <x:c r="V40" s="138"/>
      <x:c r="W40" s="138"/>
      <x:c r="X40" s="138"/>
      <x:c r="Y40" s="138"/>
      <x:c r="Z40" s="138"/>
    </x:row>
    <x:row r="41">
      <x:c r="A41" s="138"/>
      <x:c r="B41" s="138"/>
      <x:c r="C41" s="138"/>
      <x:c r="D41" s="138"/>
      <x:c r="E41" s="138"/>
      <x:c r="F41" s="138"/>
      <x:c r="G41" s="138"/>
      <x:c r="H41" s="138"/>
      <x:c r="I41" s="138"/>
      <x:c r="J41" s="138"/>
      <x:c r="K41" s="138"/>
      <x:c r="L41" s="138"/>
      <x:c r="M41" s="138"/>
      <x:c r="N41" s="138"/>
      <x:c r="O41" s="138"/>
      <x:c r="P41" s="138"/>
      <x:c r="Q41" s="138"/>
      <x:c r="R41" s="138"/>
      <x:c r="S41" s="138"/>
      <x:c r="T41" s="138"/>
      <x:c r="U41" s="138"/>
      <x:c r="V41" s="138"/>
      <x:c r="W41" s="138"/>
      <x:c r="X41" s="138"/>
      <x:c r="Y41" s="138"/>
      <x:c r="Z41" s="138"/>
    </x:row>
    <x:row r="42">
      <x:c r="A42" s="138"/>
      <x:c r="B42" s="138"/>
      <x:c r="C42" s="138"/>
      <x:c r="D42" s="138"/>
      <x:c r="E42" s="138"/>
      <x:c r="F42" s="138"/>
      <x:c r="G42" s="138"/>
      <x:c r="H42" s="138"/>
      <x:c r="I42" s="138"/>
      <x:c r="J42" s="138"/>
      <x:c r="K42" s="138"/>
      <x:c r="L42" s="138"/>
      <x:c r="M42" s="138"/>
      <x:c r="N42" s="138"/>
      <x:c r="O42" s="138"/>
      <x:c r="P42" s="138"/>
      <x:c r="Q42" s="138"/>
      <x:c r="R42" s="138"/>
      <x:c r="S42" s="138"/>
      <x:c r="T42" s="138"/>
      <x:c r="U42" s="138"/>
      <x:c r="V42" s="138"/>
      <x:c r="W42" s="138"/>
      <x:c r="X42" s="138"/>
      <x:c r="Y42" s="138"/>
      <x:c r="Z42" s="138"/>
    </x:row>
    <x:row r="43">
      <x:c r="A43" s="138"/>
      <x:c r="B43" s="138"/>
      <x:c r="C43" s="138"/>
      <x:c r="D43" s="138"/>
      <x:c r="E43" s="138"/>
      <x:c r="F43" s="138"/>
      <x:c r="G43" s="138"/>
      <x:c r="H43" s="138"/>
      <x:c r="I43" s="138"/>
      <x:c r="J43" s="138"/>
      <x:c r="K43" s="138"/>
      <x:c r="L43" s="138"/>
      <x:c r="M43" s="138"/>
      <x:c r="N43" s="138"/>
      <x:c r="O43" s="138"/>
      <x:c r="P43" s="138"/>
      <x:c r="Q43" s="138"/>
      <x:c r="R43" s="138"/>
      <x:c r="S43" s="138"/>
      <x:c r="T43" s="138"/>
      <x:c r="U43" s="138"/>
      <x:c r="V43" s="138"/>
      <x:c r="W43" s="138"/>
      <x:c r="X43" s="138"/>
      <x:c r="Y43" s="138"/>
      <x:c r="Z43" s="138"/>
    </x:row>
    <x:row r="44">
      <x:c r="A44" s="138"/>
      <x:c r="B44" s="138"/>
      <x:c r="C44" s="138"/>
      <x:c r="D44" s="138"/>
      <x:c r="E44" s="138"/>
      <x:c r="F44" s="138"/>
      <x:c r="G44" s="138"/>
      <x:c r="H44" s="138"/>
      <x:c r="I44" s="138"/>
      <x:c r="J44" s="138"/>
      <x:c r="K44" s="138"/>
      <x:c r="L44" s="138"/>
      <x:c r="M44" s="138"/>
      <x:c r="N44" s="138"/>
      <x:c r="O44" s="138"/>
      <x:c r="P44" s="138"/>
      <x:c r="Q44" s="138"/>
      <x:c r="R44" s="138"/>
      <x:c r="S44" s="138"/>
      <x:c r="T44" s="138"/>
      <x:c r="U44" s="138"/>
      <x:c r="V44" s="138"/>
      <x:c r="W44" s="138"/>
      <x:c r="X44" s="138"/>
      <x:c r="Y44" s="138"/>
      <x:c r="Z44" s="138"/>
    </x:row>
    <x:row r="45">
      <x:c r="A45" s="138"/>
      <x:c r="B45" s="138"/>
      <x:c r="C45" s="138"/>
      <x:c r="D45" s="138"/>
      <x:c r="E45" s="138"/>
      <x:c r="F45" s="138"/>
      <x:c r="G45" s="138"/>
      <x:c r="H45" s="138"/>
      <x:c r="I45" s="138"/>
      <x:c r="J45" s="138"/>
      <x:c r="K45" s="138"/>
      <x:c r="L45" s="138"/>
      <x:c r="M45" s="138"/>
      <x:c r="N45" s="138"/>
      <x:c r="O45" s="138"/>
      <x:c r="P45" s="138"/>
      <x:c r="Q45" s="138"/>
      <x:c r="R45" s="138"/>
      <x:c r="S45" s="138"/>
      <x:c r="T45" s="138"/>
      <x:c r="U45" s="138"/>
      <x:c r="V45" s="138"/>
      <x:c r="W45" s="138"/>
      <x:c r="X45" s="138"/>
      <x:c r="Y45" s="138"/>
      <x:c r="Z45" s="138"/>
    </x:row>
    <x:row r="46">
      <x:c r="A46" s="138"/>
      <x:c r="B46" s="138"/>
      <x:c r="C46" s="138"/>
      <x:c r="D46" s="138"/>
      <x:c r="E46" s="138"/>
      <x:c r="F46" s="138"/>
      <x:c r="G46" s="138"/>
      <x:c r="H46" s="138"/>
      <x:c r="I46" s="138"/>
      <x:c r="J46" s="138"/>
      <x:c r="K46" s="138"/>
      <x:c r="L46" s="138"/>
      <x:c r="M46" s="138"/>
      <x:c r="N46" s="138"/>
      <x:c r="O46" s="138"/>
      <x:c r="P46" s="138"/>
      <x:c r="Q46" s="138"/>
      <x:c r="R46" s="138"/>
      <x:c r="S46" s="138"/>
      <x:c r="T46" s="138"/>
      <x:c r="U46" s="138"/>
      <x:c r="V46" s="138"/>
      <x:c r="W46" s="138"/>
      <x:c r="X46" s="138"/>
      <x:c r="Y46" s="138"/>
      <x:c r="Z46" s="138"/>
    </x:row>
    <x:row r="47">
      <x:c r="A47" s="138"/>
      <x:c r="B47" s="138"/>
      <x:c r="C47" s="138"/>
      <x:c r="D47" s="138"/>
      <x:c r="E47" s="138"/>
      <x:c r="F47" s="138"/>
      <x:c r="G47" s="138"/>
      <x:c r="H47" s="138"/>
      <x:c r="I47" s="138"/>
      <x:c r="J47" s="138"/>
      <x:c r="K47" s="138"/>
      <x:c r="L47" s="138"/>
      <x:c r="M47" s="138"/>
      <x:c r="N47" s="138"/>
      <x:c r="O47" s="138"/>
      <x:c r="P47" s="138"/>
      <x:c r="Q47" s="138"/>
      <x:c r="R47" s="138"/>
      <x:c r="S47" s="138"/>
      <x:c r="T47" s="138"/>
      <x:c r="U47" s="138"/>
      <x:c r="V47" s="138"/>
      <x:c r="W47" s="138"/>
      <x:c r="X47" s="138"/>
      <x:c r="Y47" s="138"/>
      <x:c r="Z47" s="138"/>
    </x:row>
    <x:row r="48">
      <x:c r="A48" s="138"/>
      <x:c r="B48" s="138"/>
      <x:c r="C48" s="138"/>
      <x:c r="D48" s="138"/>
      <x:c r="E48" s="138"/>
      <x:c r="F48" s="138"/>
      <x:c r="G48" s="138"/>
      <x:c r="H48" s="138"/>
      <x:c r="I48" s="138"/>
      <x:c r="J48" s="138"/>
      <x:c r="K48" s="138"/>
      <x:c r="L48" s="138"/>
      <x:c r="M48" s="138"/>
      <x:c r="N48" s="138"/>
      <x:c r="O48" s="138"/>
      <x:c r="P48" s="138"/>
      <x:c r="Q48" s="138"/>
      <x:c r="R48" s="138"/>
      <x:c r="S48" s="138"/>
      <x:c r="T48" s="138"/>
      <x:c r="U48" s="138"/>
      <x:c r="V48" s="138"/>
      <x:c r="W48" s="138"/>
      <x:c r="X48" s="138"/>
      <x:c r="Y48" s="138"/>
      <x:c r="Z48" s="138"/>
    </x:row>
    <x:row r="49">
      <x:c r="A49" s="138"/>
      <x:c r="B49" s="138"/>
      <x:c r="C49" s="138"/>
      <x:c r="D49" s="138"/>
      <x:c r="E49" s="138"/>
      <x:c r="F49" s="138"/>
      <x:c r="G49" s="138"/>
      <x:c r="H49" s="138"/>
      <x:c r="I49" s="138"/>
      <x:c r="J49" s="138"/>
      <x:c r="K49" s="138"/>
      <x:c r="L49" s="138"/>
      <x:c r="M49" s="138"/>
      <x:c r="N49" s="138"/>
      <x:c r="O49" s="138"/>
      <x:c r="P49" s="138"/>
      <x:c r="Q49" s="138"/>
      <x:c r="R49" s="138"/>
      <x:c r="S49" s="138"/>
      <x:c r="T49" s="138"/>
      <x:c r="U49" s="138"/>
      <x:c r="V49" s="138"/>
      <x:c r="W49" s="138"/>
      <x:c r="X49" s="138"/>
      <x:c r="Y49" s="138"/>
      <x:c r="Z49" s="138"/>
    </x:row>
    <x:row r="50">
      <x:c r="A50" s="138"/>
      <x:c r="B50" s="138"/>
      <x:c r="C50" s="138"/>
      <x:c r="D50" s="138"/>
      <x:c r="E50" s="138"/>
      <x:c r="F50" s="138"/>
      <x:c r="G50" s="138"/>
      <x:c r="H50" s="138"/>
      <x:c r="I50" s="138"/>
      <x:c r="J50" s="138"/>
      <x:c r="K50" s="138"/>
      <x:c r="L50" s="138"/>
      <x:c r="M50" s="138"/>
      <x:c r="N50" s="138"/>
      <x:c r="O50" s="138"/>
      <x:c r="P50" s="138"/>
      <x:c r="Q50" s="138"/>
      <x:c r="R50" s="138"/>
      <x:c r="S50" s="138"/>
      <x:c r="T50" s="138"/>
      <x:c r="U50" s="138"/>
      <x:c r="V50" s="138"/>
      <x:c r="W50" s="138"/>
      <x:c r="X50" s="138"/>
      <x:c r="Y50" s="138"/>
      <x:c r="Z50" s="138"/>
    </x:row>
    <x:row r="51">
      <x:c r="A51" s="138"/>
      <x:c r="B51" s="138"/>
      <x:c r="C51" s="138"/>
      <x:c r="D51" s="138"/>
      <x:c r="E51" s="138"/>
      <x:c r="F51" s="138"/>
      <x:c r="G51" s="138"/>
      <x:c r="H51" s="138"/>
      <x:c r="I51" s="138"/>
      <x:c r="J51" s="138"/>
      <x:c r="K51" s="138"/>
      <x:c r="L51" s="138"/>
      <x:c r="M51" s="138"/>
      <x:c r="N51" s="138"/>
      <x:c r="O51" s="138"/>
      <x:c r="P51" s="138"/>
      <x:c r="Q51" s="138"/>
      <x:c r="R51" s="138"/>
      <x:c r="S51" s="138"/>
      <x:c r="T51" s="138"/>
      <x:c r="U51" s="138"/>
      <x:c r="V51" s="138"/>
      <x:c r="W51" s="138"/>
      <x:c r="X51" s="138"/>
      <x:c r="Y51" s="138"/>
      <x:c r="Z51" s="138"/>
    </x:row>
    <x:row r="52">
      <x:c r="A52" s="138"/>
      <x:c r="B52" s="138"/>
      <x:c r="C52" s="138"/>
      <x:c r="D52" s="138"/>
      <x:c r="E52" s="138"/>
      <x:c r="F52" s="138"/>
      <x:c r="G52" s="138"/>
      <x:c r="H52" s="138"/>
      <x:c r="I52" s="138"/>
      <x:c r="J52" s="138"/>
      <x:c r="K52" s="138"/>
      <x:c r="L52" s="138"/>
      <x:c r="M52" s="138"/>
      <x:c r="N52" s="138"/>
      <x:c r="O52" s="138"/>
      <x:c r="P52" s="138"/>
      <x:c r="Q52" s="138"/>
      <x:c r="R52" s="138"/>
      <x:c r="S52" s="138"/>
      <x:c r="T52" s="138"/>
      <x:c r="U52" s="138"/>
      <x:c r="V52" s="138"/>
      <x:c r="W52" s="138"/>
      <x:c r="X52" s="138"/>
      <x:c r="Y52" s="138"/>
      <x:c r="Z52" s="138"/>
    </x:row>
    <x:row r="53">
      <x:c r="A53" s="138"/>
      <x:c r="B53" s="138"/>
      <x:c r="C53" s="138"/>
      <x:c r="D53" s="138"/>
      <x:c r="E53" s="138"/>
      <x:c r="F53" s="138"/>
      <x:c r="G53" s="138"/>
      <x:c r="H53" s="138"/>
      <x:c r="I53" s="138"/>
      <x:c r="J53" s="138"/>
      <x:c r="K53" s="138"/>
      <x:c r="L53" s="138"/>
      <x:c r="M53" s="138"/>
      <x:c r="N53" s="138"/>
      <x:c r="O53" s="138"/>
      <x:c r="P53" s="138"/>
      <x:c r="Q53" s="138"/>
      <x:c r="R53" s="138"/>
      <x:c r="S53" s="138"/>
      <x:c r="T53" s="138"/>
      <x:c r="U53" s="138"/>
      <x:c r="V53" s="138"/>
      <x:c r="W53" s="138"/>
      <x:c r="X53" s="138"/>
      <x:c r="Y53" s="138"/>
      <x:c r="Z53" s="138"/>
    </x:row>
    <x:row r="54">
      <x:c r="A54" s="138"/>
      <x:c r="B54" s="138"/>
      <x:c r="C54" s="138"/>
      <x:c r="D54" s="138"/>
      <x:c r="E54" s="138"/>
      <x:c r="F54" s="138"/>
      <x:c r="G54" s="138"/>
      <x:c r="H54" s="138"/>
      <x:c r="I54" s="138"/>
      <x:c r="J54" s="138"/>
      <x:c r="K54" s="138"/>
      <x:c r="L54" s="138"/>
      <x:c r="M54" s="138"/>
      <x:c r="N54" s="138"/>
      <x:c r="O54" s="138"/>
      <x:c r="P54" s="138"/>
      <x:c r="Q54" s="138"/>
      <x:c r="R54" s="138"/>
      <x:c r="S54" s="138"/>
      <x:c r="T54" s="138"/>
      <x:c r="U54" s="138"/>
      <x:c r="V54" s="138"/>
      <x:c r="W54" s="138"/>
      <x:c r="X54" s="138"/>
      <x:c r="Y54" s="138"/>
      <x:c r="Z54" s="138"/>
    </x:row>
    <x:row r="55">
      <x:c r="A55" s="138"/>
      <x:c r="B55" s="138"/>
      <x:c r="C55" s="138"/>
      <x:c r="D55" s="138"/>
      <x:c r="E55" s="138"/>
      <x:c r="F55" s="138"/>
      <x:c r="G55" s="138"/>
      <x:c r="H55" s="138"/>
      <x:c r="I55" s="138"/>
      <x:c r="J55" s="138"/>
      <x:c r="K55" s="138"/>
      <x:c r="L55" s="138"/>
      <x:c r="M55" s="138"/>
      <x:c r="N55" s="138"/>
      <x:c r="O55" s="138"/>
      <x:c r="P55" s="138"/>
      <x:c r="Q55" s="138"/>
      <x:c r="R55" s="138"/>
      <x:c r="S55" s="138"/>
      <x:c r="T55" s="138"/>
      <x:c r="U55" s="138"/>
      <x:c r="V55" s="138"/>
      <x:c r="W55" s="138"/>
      <x:c r="X55" s="138"/>
      <x:c r="Y55" s="138"/>
      <x:c r="Z55" s="138"/>
    </x:row>
    <x:row r="56">
      <x:c r="A56" s="138"/>
      <x:c r="B56" s="138"/>
      <x:c r="C56" s="138"/>
      <x:c r="D56" s="138"/>
      <x:c r="E56" s="138"/>
      <x:c r="F56" s="138"/>
      <x:c r="G56" s="138"/>
      <x:c r="H56" s="138"/>
      <x:c r="I56" s="138"/>
      <x:c r="J56" s="138"/>
      <x:c r="K56" s="138"/>
      <x:c r="L56" s="138"/>
      <x:c r="M56" s="138"/>
      <x:c r="N56" s="138"/>
      <x:c r="O56" s="138"/>
      <x:c r="P56" s="138"/>
      <x:c r="Q56" s="138"/>
      <x:c r="R56" s="138"/>
      <x:c r="S56" s="138"/>
      <x:c r="T56" s="138"/>
      <x:c r="U56" s="138"/>
      <x:c r="V56" s="138"/>
      <x:c r="W56" s="138"/>
      <x:c r="X56" s="138"/>
      <x:c r="Y56" s="138"/>
      <x:c r="Z56" s="138"/>
    </x:row>
    <x:row r="57">
      <x:c r="A57" s="138"/>
      <x:c r="B57" s="138"/>
      <x:c r="C57" s="138"/>
      <x:c r="D57" s="138"/>
      <x:c r="E57" s="138"/>
      <x:c r="F57" s="138"/>
      <x:c r="G57" s="138"/>
      <x:c r="H57" s="138"/>
      <x:c r="I57" s="138"/>
      <x:c r="J57" s="138"/>
      <x:c r="K57" s="138"/>
      <x:c r="L57" s="138"/>
      <x:c r="M57" s="138"/>
      <x:c r="N57" s="138"/>
      <x:c r="O57" s="138"/>
      <x:c r="P57" s="138"/>
      <x:c r="Q57" s="138"/>
      <x:c r="R57" s="138"/>
      <x:c r="S57" s="138"/>
      <x:c r="T57" s="138"/>
      <x:c r="U57" s="138"/>
      <x:c r="V57" s="138"/>
      <x:c r="W57" s="138"/>
      <x:c r="X57" s="138"/>
      <x:c r="Y57" s="138"/>
      <x:c r="Z57" s="138"/>
    </x:row>
    <x:row r="58">
      <x:c r="A58" s="138"/>
      <x:c r="B58" s="138"/>
      <x:c r="C58" s="138"/>
      <x:c r="D58" s="138"/>
      <x:c r="E58" s="138"/>
      <x:c r="F58" s="138"/>
      <x:c r="G58" s="138"/>
      <x:c r="H58" s="138"/>
      <x:c r="I58" s="138"/>
      <x:c r="J58" s="138"/>
      <x:c r="K58" s="138"/>
      <x:c r="L58" s="138"/>
      <x:c r="M58" s="138"/>
      <x:c r="N58" s="138"/>
      <x:c r="O58" s="138"/>
      <x:c r="P58" s="138"/>
      <x:c r="Q58" s="138"/>
      <x:c r="R58" s="138"/>
      <x:c r="S58" s="138"/>
      <x:c r="T58" s="138"/>
      <x:c r="U58" s="138"/>
      <x:c r="V58" s="138"/>
      <x:c r="W58" s="138"/>
      <x:c r="X58" s="138"/>
      <x:c r="Y58" s="138"/>
      <x:c r="Z58" s="138"/>
    </x:row>
    <x:row r="59">
      <x:c r="A59" s="138"/>
      <x:c r="B59" s="138"/>
      <x:c r="C59" s="138"/>
      <x:c r="D59" s="138"/>
      <x:c r="E59" s="138"/>
      <x:c r="F59" s="138"/>
      <x:c r="G59" s="138"/>
      <x:c r="H59" s="138"/>
      <x:c r="I59" s="138"/>
      <x:c r="J59" s="138"/>
      <x:c r="K59" s="138"/>
      <x:c r="L59" s="138"/>
      <x:c r="M59" s="138"/>
      <x:c r="N59" s="138"/>
      <x:c r="O59" s="138"/>
      <x:c r="P59" s="138"/>
      <x:c r="Q59" s="138"/>
      <x:c r="R59" s="138"/>
      <x:c r="S59" s="138"/>
      <x:c r="T59" s="138"/>
      <x:c r="U59" s="138"/>
      <x:c r="V59" s="138"/>
      <x:c r="W59" s="138"/>
      <x:c r="X59" s="138"/>
      <x:c r="Y59" s="138"/>
      <x:c r="Z59" s="138"/>
    </x:row>
    <x:row r="60">
      <x:c r="A60" s="138"/>
      <x:c r="B60" s="138"/>
      <x:c r="C60" s="138"/>
      <x:c r="D60" s="138"/>
      <x:c r="E60" s="138"/>
      <x:c r="F60" s="138"/>
      <x:c r="G60" s="138"/>
      <x:c r="H60" s="138"/>
      <x:c r="I60" s="138"/>
      <x:c r="J60" s="138"/>
      <x:c r="K60" s="138"/>
      <x:c r="L60" s="138"/>
      <x:c r="M60" s="138"/>
      <x:c r="N60" s="138"/>
      <x:c r="O60" s="138"/>
      <x:c r="P60" s="138"/>
      <x:c r="Q60" s="138"/>
      <x:c r="R60" s="138"/>
      <x:c r="S60" s="138"/>
      <x:c r="T60" s="138"/>
      <x:c r="U60" s="138"/>
      <x:c r="V60" s="138"/>
      <x:c r="W60" s="138"/>
      <x:c r="X60" s="138"/>
      <x:c r="Y60" s="138"/>
      <x:c r="Z60" s="138"/>
    </x:row>
    <x:row r="61">
      <x:c r="A61" s="138"/>
      <x:c r="B61" s="138"/>
      <x:c r="C61" s="138"/>
      <x:c r="D61" s="138"/>
      <x:c r="E61" s="138"/>
      <x:c r="F61" s="138"/>
      <x:c r="G61" s="138"/>
      <x:c r="H61" s="138"/>
      <x:c r="I61" s="138"/>
      <x:c r="J61" s="138"/>
      <x:c r="K61" s="138"/>
      <x:c r="L61" s="138"/>
      <x:c r="M61" s="138"/>
      <x:c r="N61" s="138"/>
      <x:c r="O61" s="138"/>
      <x:c r="P61" s="138"/>
      <x:c r="Q61" s="138"/>
      <x:c r="R61" s="138"/>
      <x:c r="S61" s="138"/>
      <x:c r="T61" s="138"/>
      <x:c r="U61" s="138"/>
      <x:c r="V61" s="138"/>
      <x:c r="W61" s="138"/>
      <x:c r="X61" s="138"/>
      <x:c r="Y61" s="138"/>
      <x:c r="Z61" s="138"/>
    </x:row>
    <x:row r="62">
      <x:c r="A62" s="138"/>
      <x:c r="B62" s="138"/>
      <x:c r="C62" s="138"/>
      <x:c r="D62" s="138"/>
      <x:c r="E62" s="138"/>
      <x:c r="F62" s="138"/>
      <x:c r="G62" s="138"/>
      <x:c r="H62" s="138"/>
      <x:c r="I62" s="138"/>
      <x:c r="J62" s="138"/>
      <x:c r="K62" s="138"/>
      <x:c r="L62" s="138"/>
      <x:c r="M62" s="138"/>
      <x:c r="N62" s="138"/>
      <x:c r="O62" s="138"/>
      <x:c r="P62" s="138"/>
      <x:c r="Q62" s="138"/>
      <x:c r="R62" s="138"/>
      <x:c r="S62" s="138"/>
      <x:c r="T62" s="138"/>
      <x:c r="U62" s="138"/>
      <x:c r="V62" s="138"/>
      <x:c r="W62" s="138"/>
      <x:c r="X62" s="138"/>
      <x:c r="Y62" s="138"/>
      <x:c r="Z62" s="138"/>
    </x:row>
    <x:row r="63">
      <x:c r="A63" s="138"/>
      <x:c r="B63" s="138"/>
      <x:c r="C63" s="138"/>
      <x:c r="D63" s="138"/>
      <x:c r="E63" s="138"/>
      <x:c r="F63" s="138"/>
      <x:c r="G63" s="138"/>
      <x:c r="H63" s="138"/>
      <x:c r="I63" s="138"/>
      <x:c r="J63" s="138"/>
      <x:c r="K63" s="138"/>
      <x:c r="L63" s="138"/>
      <x:c r="M63" s="138"/>
      <x:c r="N63" s="138"/>
      <x:c r="O63" s="138"/>
      <x:c r="P63" s="138"/>
      <x:c r="Q63" s="138"/>
      <x:c r="R63" s="138"/>
      <x:c r="S63" s="138"/>
      <x:c r="T63" s="138"/>
      <x:c r="U63" s="138"/>
      <x:c r="V63" s="138"/>
      <x:c r="W63" s="138"/>
      <x:c r="X63" s="138"/>
      <x:c r="Y63" s="138"/>
      <x:c r="Z63" s="138"/>
    </x:row>
    <x:row r="64">
      <x:c r="A64" s="138"/>
      <x:c r="B64" s="138"/>
      <x:c r="C64" s="138"/>
      <x:c r="D64" s="138"/>
      <x:c r="E64" s="138"/>
      <x:c r="F64" s="138"/>
      <x:c r="G64" s="138"/>
      <x:c r="H64" s="138"/>
      <x:c r="I64" s="138"/>
      <x:c r="J64" s="138"/>
      <x:c r="K64" s="138"/>
      <x:c r="L64" s="138"/>
      <x:c r="M64" s="138"/>
      <x:c r="N64" s="138"/>
      <x:c r="O64" s="138"/>
      <x:c r="P64" s="138"/>
      <x:c r="Q64" s="138"/>
      <x:c r="R64" s="138"/>
      <x:c r="S64" s="138"/>
      <x:c r="T64" s="138"/>
      <x:c r="U64" s="138"/>
      <x:c r="V64" s="138"/>
      <x:c r="W64" s="138"/>
      <x:c r="X64" s="138"/>
      <x:c r="Y64" s="138"/>
      <x:c r="Z64" s="138"/>
    </x:row>
    <x:row r="65">
      <x:c r="A65" s="138"/>
      <x:c r="B65" s="138"/>
      <x:c r="C65" s="138"/>
      <x:c r="D65" s="138"/>
      <x:c r="E65" s="138"/>
      <x:c r="F65" s="138"/>
      <x:c r="G65" s="138"/>
      <x:c r="H65" s="138"/>
      <x:c r="I65" s="138"/>
      <x:c r="J65" s="138"/>
      <x:c r="K65" s="138"/>
      <x:c r="L65" s="138"/>
      <x:c r="M65" s="138"/>
      <x:c r="N65" s="138"/>
      <x:c r="O65" s="138"/>
      <x:c r="P65" s="138"/>
      <x:c r="Q65" s="138"/>
      <x:c r="R65" s="138"/>
      <x:c r="S65" s="138"/>
      <x:c r="T65" s="138"/>
      <x:c r="U65" s="138"/>
      <x:c r="V65" s="138"/>
      <x:c r="W65" s="138"/>
      <x:c r="X65" s="138"/>
      <x:c r="Y65" s="138"/>
      <x:c r="Z65" s="138"/>
    </x:row>
    <x:row r="66">
      <x:c r="A66" s="138"/>
      <x:c r="B66" s="138"/>
      <x:c r="C66" s="138"/>
      <x:c r="D66" s="138"/>
      <x:c r="E66" s="138"/>
      <x:c r="F66" s="138"/>
      <x:c r="G66" s="138"/>
      <x:c r="H66" s="138"/>
      <x:c r="I66" s="138"/>
      <x:c r="J66" s="138"/>
      <x:c r="K66" s="138"/>
      <x:c r="L66" s="138"/>
      <x:c r="M66" s="138"/>
      <x:c r="N66" s="138"/>
      <x:c r="O66" s="138"/>
      <x:c r="P66" s="138"/>
      <x:c r="Q66" s="138"/>
      <x:c r="R66" s="138"/>
      <x:c r="S66" s="138"/>
      <x:c r="T66" s="138"/>
      <x:c r="U66" s="138"/>
      <x:c r="V66" s="138"/>
      <x:c r="W66" s="138"/>
      <x:c r="X66" s="138"/>
      <x:c r="Y66" s="138"/>
      <x:c r="Z66" s="138"/>
    </x:row>
    <x:row r="67">
      <x:c r="A67" s="138"/>
      <x:c r="B67" s="138"/>
      <x:c r="C67" s="138"/>
      <x:c r="D67" s="138"/>
      <x:c r="E67" s="138"/>
      <x:c r="F67" s="138"/>
      <x:c r="G67" s="138"/>
      <x:c r="H67" s="138"/>
      <x:c r="I67" s="138"/>
      <x:c r="J67" s="138"/>
      <x:c r="K67" s="138"/>
      <x:c r="L67" s="138"/>
      <x:c r="M67" s="138"/>
      <x:c r="N67" s="138"/>
      <x:c r="O67" s="138"/>
      <x:c r="P67" s="138"/>
      <x:c r="Q67" s="138"/>
      <x:c r="R67" s="138"/>
      <x:c r="S67" s="138"/>
      <x:c r="T67" s="138"/>
      <x:c r="U67" s="138"/>
      <x:c r="V67" s="138"/>
      <x:c r="W67" s="138"/>
      <x:c r="X67" s="138"/>
      <x:c r="Y67" s="138"/>
      <x:c r="Z67" s="138"/>
    </x:row>
    <x:row r="68">
      <x:c r="A68" s="138"/>
      <x:c r="B68" s="138"/>
      <x:c r="C68" s="138"/>
      <x:c r="D68" s="138"/>
      <x:c r="E68" s="138"/>
      <x:c r="F68" s="138"/>
      <x:c r="G68" s="138"/>
      <x:c r="H68" s="138"/>
      <x:c r="I68" s="138"/>
      <x:c r="J68" s="138"/>
      <x:c r="K68" s="138"/>
      <x:c r="L68" s="138"/>
      <x:c r="M68" s="138"/>
      <x:c r="N68" s="138"/>
      <x:c r="O68" s="138"/>
      <x:c r="P68" s="138"/>
      <x:c r="Q68" s="138"/>
      <x:c r="R68" s="138"/>
      <x:c r="S68" s="138"/>
      <x:c r="T68" s="138"/>
      <x:c r="U68" s="138"/>
      <x:c r="V68" s="138"/>
      <x:c r="W68" s="138"/>
      <x:c r="X68" s="138"/>
      <x:c r="Y68" s="138"/>
      <x:c r="Z68" s="138"/>
    </x:row>
    <x:row r="69">
      <x:c r="A69" s="138"/>
      <x:c r="B69" s="138"/>
      <x:c r="C69" s="138"/>
      <x:c r="D69" s="138"/>
      <x:c r="E69" s="138"/>
      <x:c r="F69" s="138"/>
      <x:c r="G69" s="138"/>
      <x:c r="H69" s="138"/>
      <x:c r="I69" s="138"/>
      <x:c r="J69" s="138"/>
      <x:c r="K69" s="138"/>
      <x:c r="L69" s="138"/>
      <x:c r="M69" s="138"/>
      <x:c r="N69" s="138"/>
      <x:c r="O69" s="138"/>
      <x:c r="P69" s="138"/>
      <x:c r="Q69" s="138"/>
      <x:c r="R69" s="138"/>
      <x:c r="S69" s="138"/>
      <x:c r="T69" s="138"/>
      <x:c r="U69" s="138"/>
      <x:c r="V69" s="138"/>
      <x:c r="W69" s="138"/>
      <x:c r="X69" s="138"/>
      <x:c r="Y69" s="138"/>
      <x:c r="Z69" s="138"/>
    </x:row>
    <x:row r="70">
      <x:c r="A70" s="138"/>
      <x:c r="B70" s="138"/>
      <x:c r="C70" s="138"/>
      <x:c r="D70" s="138"/>
      <x:c r="E70" s="138"/>
      <x:c r="F70" s="138"/>
      <x:c r="G70" s="138"/>
      <x:c r="H70" s="138"/>
      <x:c r="I70" s="138"/>
      <x:c r="J70" s="138"/>
      <x:c r="K70" s="138"/>
      <x:c r="L70" s="138"/>
      <x:c r="M70" s="138"/>
      <x:c r="N70" s="138"/>
      <x:c r="O70" s="138"/>
      <x:c r="P70" s="138"/>
      <x:c r="Q70" s="138"/>
      <x:c r="R70" s="138"/>
      <x:c r="S70" s="138"/>
      <x:c r="T70" s="138"/>
      <x:c r="U70" s="138"/>
      <x:c r="V70" s="138"/>
      <x:c r="W70" s="138"/>
      <x:c r="X70" s="138"/>
      <x:c r="Y70" s="138"/>
      <x:c r="Z70" s="138"/>
    </x:row>
    <x:row r="71">
      <x:c r="A71" s="138"/>
      <x:c r="B71" s="138"/>
      <x:c r="C71" s="138"/>
      <x:c r="D71" s="138"/>
      <x:c r="E71" s="138"/>
      <x:c r="F71" s="138"/>
      <x:c r="G71" s="138"/>
      <x:c r="H71" s="138"/>
      <x:c r="I71" s="138"/>
      <x:c r="J71" s="138"/>
      <x:c r="K71" s="138"/>
      <x:c r="L71" s="138"/>
      <x:c r="M71" s="138"/>
      <x:c r="N71" s="138"/>
      <x:c r="O71" s="138"/>
      <x:c r="P71" s="138"/>
      <x:c r="Q71" s="138"/>
      <x:c r="R71" s="138"/>
      <x:c r="S71" s="138"/>
      <x:c r="T71" s="138"/>
      <x:c r="U71" s="138"/>
      <x:c r="V71" s="138"/>
      <x:c r="W71" s="138"/>
      <x:c r="X71" s="138"/>
      <x:c r="Y71" s="138"/>
      <x:c r="Z71" s="138"/>
    </x:row>
    <x:row r="72">
      <x:c r="A72" s="138"/>
      <x:c r="B72" s="138"/>
      <x:c r="C72" s="138"/>
      <x:c r="D72" s="138"/>
      <x:c r="E72" s="138"/>
      <x:c r="F72" s="138"/>
      <x:c r="G72" s="138"/>
      <x:c r="H72" s="138"/>
      <x:c r="I72" s="138"/>
      <x:c r="J72" s="138"/>
      <x:c r="K72" s="138"/>
      <x:c r="L72" s="138"/>
      <x:c r="M72" s="138"/>
      <x:c r="N72" s="138"/>
      <x:c r="O72" s="138"/>
      <x:c r="P72" s="138"/>
      <x:c r="Q72" s="138"/>
      <x:c r="R72" s="138"/>
      <x:c r="S72" s="138"/>
      <x:c r="T72" s="138"/>
      <x:c r="U72" s="138"/>
      <x:c r="V72" s="138"/>
      <x:c r="W72" s="138"/>
      <x:c r="X72" s="138"/>
      <x:c r="Y72" s="138"/>
      <x:c r="Z72" s="138"/>
    </x:row>
    <x:row r="73">
      <x:c r="A73" s="138"/>
      <x:c r="B73" s="138"/>
      <x:c r="C73" s="138"/>
      <x:c r="D73" s="138"/>
      <x:c r="E73" s="138"/>
      <x:c r="F73" s="138"/>
      <x:c r="G73" s="138"/>
      <x:c r="H73" s="138"/>
      <x:c r="I73" s="138"/>
      <x:c r="J73" s="138"/>
      <x:c r="K73" s="138"/>
      <x:c r="L73" s="138"/>
      <x:c r="M73" s="138"/>
      <x:c r="N73" s="138"/>
      <x:c r="O73" s="138"/>
      <x:c r="P73" s="138"/>
      <x:c r="Q73" s="138"/>
      <x:c r="R73" s="138"/>
      <x:c r="S73" s="138"/>
      <x:c r="T73" s="138"/>
      <x:c r="U73" s="138"/>
      <x:c r="V73" s="138"/>
      <x:c r="W73" s="138"/>
      <x:c r="X73" s="138"/>
      <x:c r="Y73" s="138"/>
      <x:c r="Z73" s="138"/>
    </x:row>
    <x:row r="74">
      <x:c r="A74" s="138"/>
      <x:c r="B74" s="138"/>
      <x:c r="C74" s="138"/>
      <x:c r="D74" s="138"/>
      <x:c r="E74" s="138"/>
      <x:c r="F74" s="138"/>
      <x:c r="G74" s="138"/>
      <x:c r="H74" s="138"/>
      <x:c r="I74" s="138"/>
      <x:c r="J74" s="138"/>
      <x:c r="K74" s="138"/>
      <x:c r="L74" s="138"/>
      <x:c r="M74" s="138"/>
      <x:c r="N74" s="138"/>
      <x:c r="O74" s="138"/>
      <x:c r="P74" s="138"/>
      <x:c r="Q74" s="138"/>
      <x:c r="R74" s="138"/>
      <x:c r="S74" s="138"/>
      <x:c r="T74" s="138"/>
      <x:c r="U74" s="138"/>
      <x:c r="V74" s="138"/>
      <x:c r="W74" s="138"/>
      <x:c r="X74" s="138"/>
      <x:c r="Y74" s="138"/>
      <x:c r="Z74" s="138"/>
    </x:row>
    <x:row r="75">
      <x:c r="A75" s="138"/>
      <x:c r="B75" s="138"/>
      <x:c r="C75" s="138"/>
      <x:c r="D75" s="138"/>
      <x:c r="E75" s="138"/>
      <x:c r="F75" s="138"/>
      <x:c r="G75" s="138"/>
      <x:c r="H75" s="138"/>
      <x:c r="I75" s="138"/>
      <x:c r="J75" s="138"/>
      <x:c r="K75" s="138"/>
      <x:c r="L75" s="138"/>
      <x:c r="M75" s="138"/>
      <x:c r="N75" s="138"/>
      <x:c r="O75" s="138"/>
      <x:c r="P75" s="138"/>
      <x:c r="Q75" s="138"/>
      <x:c r="R75" s="138"/>
      <x:c r="S75" s="138"/>
      <x:c r="T75" s="138"/>
      <x:c r="U75" s="138"/>
      <x:c r="V75" s="138"/>
      <x:c r="W75" s="138"/>
      <x:c r="X75" s="138"/>
      <x:c r="Y75" s="138"/>
      <x:c r="Z75" s="138"/>
    </x:row>
    <x:row r="76">
      <x:c r="A76" s="138"/>
      <x:c r="B76" s="138"/>
      <x:c r="C76" s="138"/>
      <x:c r="D76" s="138"/>
      <x:c r="E76" s="138"/>
      <x:c r="F76" s="138"/>
      <x:c r="G76" s="138"/>
      <x:c r="H76" s="138"/>
      <x:c r="I76" s="138"/>
      <x:c r="J76" s="138"/>
      <x:c r="K76" s="138"/>
      <x:c r="L76" s="138"/>
      <x:c r="M76" s="138"/>
      <x:c r="N76" s="138"/>
      <x:c r="O76" s="138"/>
      <x:c r="P76" s="138"/>
      <x:c r="Q76" s="138"/>
      <x:c r="R76" s="138"/>
      <x:c r="S76" s="138"/>
      <x:c r="T76" s="138"/>
      <x:c r="U76" s="138"/>
      <x:c r="V76" s="138"/>
      <x:c r="W76" s="138"/>
      <x:c r="X76" s="138"/>
      <x:c r="Y76" s="138"/>
      <x:c r="Z76" s="138"/>
    </x:row>
    <x:row r="77">
      <x:c r="A77" s="138"/>
      <x:c r="B77" s="138"/>
      <x:c r="C77" s="138"/>
      <x:c r="D77" s="138"/>
      <x:c r="E77" s="138"/>
      <x:c r="F77" s="138"/>
      <x:c r="G77" s="138"/>
      <x:c r="H77" s="138"/>
      <x:c r="I77" s="138"/>
      <x:c r="J77" s="138"/>
      <x:c r="K77" s="138"/>
      <x:c r="L77" s="138"/>
      <x:c r="M77" s="138"/>
      <x:c r="N77" s="138"/>
      <x:c r="O77" s="138"/>
      <x:c r="P77" s="138"/>
      <x:c r="Q77" s="138"/>
      <x:c r="R77" s="138"/>
      <x:c r="S77" s="138"/>
      <x:c r="T77" s="138"/>
      <x:c r="U77" s="138"/>
      <x:c r="V77" s="138"/>
      <x:c r="W77" s="138"/>
      <x:c r="X77" s="138"/>
      <x:c r="Y77" s="138"/>
      <x:c r="Z77" s="138"/>
    </x:row>
    <x:row r="78">
      <x:c r="A78" s="138"/>
      <x:c r="B78" s="138"/>
      <x:c r="C78" s="138"/>
      <x:c r="D78" s="138"/>
      <x:c r="E78" s="138"/>
      <x:c r="F78" s="138"/>
      <x:c r="G78" s="138"/>
      <x:c r="H78" s="138"/>
      <x:c r="I78" s="138"/>
      <x:c r="J78" s="138"/>
      <x:c r="K78" s="138"/>
      <x:c r="L78" s="138"/>
      <x:c r="M78" s="138"/>
      <x:c r="N78" s="138"/>
      <x:c r="O78" s="138"/>
      <x:c r="P78" s="138"/>
      <x:c r="Q78" s="138"/>
      <x:c r="R78" s="138"/>
      <x:c r="S78" s="138"/>
      <x:c r="T78" s="138"/>
      <x:c r="U78" s="138"/>
      <x:c r="V78" s="138"/>
      <x:c r="W78" s="138"/>
      <x:c r="X78" s="138"/>
      <x:c r="Y78" s="138"/>
      <x:c r="Z78" s="138"/>
    </x:row>
    <x:row r="79">
      <x:c r="A79" s="138"/>
      <x:c r="B79" s="138"/>
      <x:c r="C79" s="138"/>
      <x:c r="D79" s="138"/>
      <x:c r="E79" s="138"/>
      <x:c r="F79" s="138"/>
      <x:c r="G79" s="138"/>
      <x:c r="H79" s="138"/>
      <x:c r="I79" s="138"/>
      <x:c r="J79" s="138"/>
      <x:c r="K79" s="138"/>
      <x:c r="L79" s="138"/>
      <x:c r="M79" s="138"/>
      <x:c r="N79" s="138"/>
      <x:c r="O79" s="138"/>
      <x:c r="P79" s="138"/>
      <x:c r="Q79" s="138"/>
      <x:c r="R79" s="138"/>
      <x:c r="S79" s="138"/>
      <x:c r="T79" s="138"/>
      <x:c r="U79" s="138"/>
      <x:c r="V79" s="138"/>
      <x:c r="W79" s="138"/>
      <x:c r="X79" s="138"/>
      <x:c r="Y79" s="138"/>
      <x:c r="Z79" s="138"/>
    </x:row>
    <x:row r="80">
      <x:c r="A80" s="138"/>
      <x:c r="B80" s="138"/>
      <x:c r="C80" s="138"/>
      <x:c r="D80" s="138"/>
      <x:c r="E80" s="138"/>
      <x:c r="F80" s="138"/>
      <x:c r="G80" s="138"/>
      <x:c r="H80" s="138"/>
      <x:c r="I80" s="138"/>
      <x:c r="J80" s="138"/>
      <x:c r="K80" s="138"/>
      <x:c r="L80" s="138"/>
      <x:c r="M80" s="138"/>
      <x:c r="N80" s="138"/>
      <x:c r="O80" s="138"/>
      <x:c r="P80" s="138"/>
      <x:c r="Q80" s="138"/>
      <x:c r="R80" s="138"/>
      <x:c r="S80" s="138"/>
      <x:c r="T80" s="138"/>
      <x:c r="U80" s="138"/>
      <x:c r="V80" s="138"/>
      <x:c r="W80" s="138"/>
      <x:c r="X80" s="138"/>
      <x:c r="Y80" s="138"/>
      <x:c r="Z80" s="138"/>
    </x:row>
    <x:row r="81">
      <x:c r="A81" s="138"/>
      <x:c r="B81" s="138"/>
      <x:c r="C81" s="138"/>
      <x:c r="D81" s="138"/>
      <x:c r="E81" s="138"/>
      <x:c r="F81" s="138"/>
      <x:c r="G81" s="138"/>
      <x:c r="H81" s="138"/>
      <x:c r="I81" s="138"/>
      <x:c r="J81" s="138"/>
      <x:c r="K81" s="138"/>
      <x:c r="L81" s="138"/>
      <x:c r="M81" s="138"/>
      <x:c r="N81" s="138"/>
      <x:c r="O81" s="138"/>
      <x:c r="P81" s="138"/>
      <x:c r="Q81" s="138"/>
      <x:c r="R81" s="138"/>
      <x:c r="S81" s="138"/>
      <x:c r="T81" s="138"/>
      <x:c r="U81" s="138"/>
      <x:c r="V81" s="138"/>
      <x:c r="W81" s="138"/>
      <x:c r="X81" s="138"/>
      <x:c r="Y81" s="138"/>
      <x:c r="Z81" s="138"/>
    </x:row>
    <x:row r="82">
      <x:c r="A82" s="138"/>
      <x:c r="B82" s="138"/>
      <x:c r="C82" s="138"/>
      <x:c r="D82" s="138"/>
      <x:c r="E82" s="138"/>
      <x:c r="F82" s="138"/>
      <x:c r="G82" s="138"/>
      <x:c r="H82" s="138"/>
      <x:c r="I82" s="138"/>
      <x:c r="J82" s="138"/>
      <x:c r="K82" s="138"/>
      <x:c r="L82" s="138"/>
      <x:c r="M82" s="138"/>
      <x:c r="N82" s="138"/>
      <x:c r="O82" s="138"/>
      <x:c r="P82" s="138"/>
      <x:c r="Q82" s="138"/>
      <x:c r="R82" s="138"/>
      <x:c r="S82" s="138"/>
      <x:c r="T82" s="138"/>
      <x:c r="U82" s="138"/>
      <x:c r="V82" s="138"/>
      <x:c r="W82" s="138"/>
      <x:c r="X82" s="138"/>
      <x:c r="Y82" s="138"/>
      <x:c r="Z82" s="138"/>
    </x:row>
    <x:row r="83">
      <x:c r="A83" s="138"/>
      <x:c r="B83" s="138"/>
      <x:c r="C83" s="138"/>
      <x:c r="D83" s="138"/>
      <x:c r="E83" s="138"/>
      <x:c r="F83" s="138"/>
      <x:c r="G83" s="138"/>
      <x:c r="H83" s="138"/>
      <x:c r="I83" s="138"/>
      <x:c r="J83" s="138"/>
      <x:c r="K83" s="138"/>
      <x:c r="L83" s="138"/>
      <x:c r="M83" s="138"/>
      <x:c r="N83" s="138"/>
      <x:c r="O83" s="138"/>
      <x:c r="P83" s="138"/>
      <x:c r="Q83" s="138"/>
      <x:c r="R83" s="138"/>
      <x:c r="S83" s="138"/>
      <x:c r="T83" s="138"/>
      <x:c r="U83" s="138"/>
      <x:c r="V83" s="138"/>
      <x:c r="W83" s="138"/>
      <x:c r="X83" s="138"/>
      <x:c r="Y83" s="138"/>
      <x:c r="Z83" s="138"/>
    </x:row>
    <x:row r="84">
      <x:c r="A84" s="138"/>
      <x:c r="B84" s="138"/>
      <x:c r="C84" s="138"/>
      <x:c r="D84" s="138"/>
      <x:c r="E84" s="138"/>
      <x:c r="F84" s="138"/>
      <x:c r="G84" s="138"/>
      <x:c r="H84" s="138"/>
      <x:c r="I84" s="138"/>
      <x:c r="J84" s="138"/>
      <x:c r="K84" s="138"/>
      <x:c r="L84" s="138"/>
      <x:c r="M84" s="138"/>
      <x:c r="N84" s="138"/>
      <x:c r="O84" s="138"/>
      <x:c r="P84" s="138"/>
      <x:c r="Q84" s="138"/>
      <x:c r="R84" s="138"/>
      <x:c r="S84" s="138"/>
      <x:c r="T84" s="138"/>
      <x:c r="U84" s="138"/>
      <x:c r="V84" s="138"/>
      <x:c r="W84" s="138"/>
      <x:c r="X84" s="138"/>
      <x:c r="Y84" s="138"/>
      <x:c r="Z84" s="138"/>
    </x:row>
    <x:row r="85">
      <x:c r="A85" s="138"/>
      <x:c r="B85" s="138"/>
      <x:c r="C85" s="138"/>
      <x:c r="D85" s="138"/>
      <x:c r="E85" s="138"/>
      <x:c r="F85" s="138"/>
      <x:c r="G85" s="138"/>
      <x:c r="H85" s="138"/>
      <x:c r="I85" s="138"/>
      <x:c r="J85" s="138"/>
      <x:c r="K85" s="138"/>
      <x:c r="L85" s="138"/>
      <x:c r="M85" s="138"/>
      <x:c r="N85" s="138"/>
      <x:c r="O85" s="138"/>
      <x:c r="P85" s="138"/>
      <x:c r="Q85" s="138"/>
      <x:c r="R85" s="138"/>
      <x:c r="S85" s="138"/>
      <x:c r="T85" s="138"/>
      <x:c r="U85" s="138"/>
      <x:c r="V85" s="138"/>
      <x:c r="W85" s="138"/>
      <x:c r="X85" s="138"/>
      <x:c r="Y85" s="138"/>
      <x:c r="Z85" s="138"/>
    </x:row>
    <x:row r="86">
      <x:c r="A86" s="138"/>
      <x:c r="B86" s="138"/>
      <x:c r="C86" s="138"/>
      <x:c r="D86" s="138"/>
      <x:c r="E86" s="138"/>
      <x:c r="F86" s="138"/>
      <x:c r="G86" s="138"/>
      <x:c r="H86" s="138"/>
      <x:c r="I86" s="138"/>
      <x:c r="J86" s="138"/>
      <x:c r="K86" s="138"/>
      <x:c r="L86" s="138"/>
      <x:c r="M86" s="138"/>
      <x:c r="N86" s="138"/>
      <x:c r="O86" s="138"/>
      <x:c r="P86" s="138"/>
      <x:c r="Q86" s="138"/>
      <x:c r="R86" s="138"/>
      <x:c r="S86" s="138"/>
      <x:c r="T86" s="138"/>
      <x:c r="U86" s="138"/>
      <x:c r="V86" s="138"/>
      <x:c r="W86" s="138"/>
      <x:c r="X86" s="138"/>
      <x:c r="Y86" s="138"/>
      <x:c r="Z86" s="138"/>
    </x:row>
    <x:row r="87">
      <x:c r="A87" s="138"/>
      <x:c r="B87" s="138"/>
      <x:c r="C87" s="138"/>
      <x:c r="D87" s="138"/>
      <x:c r="E87" s="138"/>
      <x:c r="F87" s="138"/>
      <x:c r="G87" s="138"/>
      <x:c r="H87" s="138"/>
      <x:c r="I87" s="138"/>
      <x:c r="J87" s="138"/>
      <x:c r="K87" s="138"/>
      <x:c r="L87" s="138"/>
      <x:c r="M87" s="138"/>
      <x:c r="N87" s="138"/>
      <x:c r="O87" s="138"/>
      <x:c r="P87" s="138"/>
      <x:c r="Q87" s="138"/>
      <x:c r="R87" s="138"/>
      <x:c r="S87" s="138"/>
      <x:c r="T87" s="138"/>
      <x:c r="U87" s="138"/>
      <x:c r="V87" s="138"/>
      <x:c r="W87" s="138"/>
      <x:c r="X87" s="138"/>
      <x:c r="Y87" s="138"/>
      <x:c r="Z87" s="138"/>
    </x:row>
    <x:row r="88">
      <x:c r="A88" s="138"/>
      <x:c r="B88" s="138"/>
      <x:c r="C88" s="138"/>
      <x:c r="D88" s="138"/>
      <x:c r="E88" s="138"/>
      <x:c r="F88" s="138"/>
      <x:c r="G88" s="138"/>
      <x:c r="H88" s="138"/>
      <x:c r="I88" s="138"/>
      <x:c r="J88" s="138"/>
      <x:c r="K88" s="138"/>
      <x:c r="L88" s="138"/>
      <x:c r="M88" s="138"/>
      <x:c r="N88" s="138"/>
      <x:c r="O88" s="138"/>
      <x:c r="P88" s="138"/>
      <x:c r="Q88" s="138"/>
      <x:c r="R88" s="138"/>
      <x:c r="S88" s="138"/>
      <x:c r="T88" s="138"/>
      <x:c r="U88" s="138"/>
      <x:c r="V88" s="138"/>
      <x:c r="W88" s="138"/>
      <x:c r="X88" s="138"/>
      <x:c r="Y88" s="138"/>
      <x:c r="Z88" s="138"/>
    </x:row>
    <x:row r="89">
      <x:c r="A89" s="138"/>
      <x:c r="B89" s="138"/>
      <x:c r="C89" s="138"/>
      <x:c r="D89" s="138"/>
      <x:c r="E89" s="138"/>
      <x:c r="F89" s="138"/>
      <x:c r="G89" s="138"/>
      <x:c r="H89" s="138"/>
      <x:c r="I89" s="138"/>
      <x:c r="J89" s="138"/>
      <x:c r="K89" s="138"/>
      <x:c r="L89" s="138"/>
      <x:c r="M89" s="138"/>
      <x:c r="N89" s="138"/>
      <x:c r="O89" s="138"/>
      <x:c r="P89" s="138"/>
      <x:c r="Q89" s="138"/>
      <x:c r="R89" s="138"/>
      <x:c r="S89" s="138"/>
      <x:c r="T89" s="138"/>
      <x:c r="U89" s="138"/>
      <x:c r="V89" s="138"/>
      <x:c r="W89" s="138"/>
      <x:c r="X89" s="138"/>
      <x:c r="Y89" s="138"/>
      <x:c r="Z89" s="138"/>
    </x:row>
    <x:row r="90">
      <x:c r="A90" s="138"/>
      <x:c r="B90" s="138"/>
      <x:c r="C90" s="138"/>
      <x:c r="D90" s="138"/>
      <x:c r="E90" s="138"/>
      <x:c r="F90" s="138"/>
      <x:c r="G90" s="138"/>
      <x:c r="H90" s="138"/>
      <x:c r="I90" s="138"/>
      <x:c r="J90" s="138"/>
      <x:c r="K90" s="138"/>
      <x:c r="L90" s="138"/>
      <x:c r="M90" s="138"/>
      <x:c r="N90" s="138"/>
      <x:c r="O90" s="138"/>
      <x:c r="P90" s="138"/>
      <x:c r="Q90" s="138"/>
      <x:c r="R90" s="138"/>
      <x:c r="S90" s="138"/>
      <x:c r="T90" s="138"/>
      <x:c r="U90" s="138"/>
      <x:c r="V90" s="138"/>
      <x:c r="W90" s="138"/>
      <x:c r="X90" s="138"/>
      <x:c r="Y90" s="138"/>
      <x:c r="Z90" s="138"/>
    </x:row>
    <x:row r="91">
      <x:c r="A91" s="138"/>
      <x:c r="B91" s="138"/>
      <x:c r="C91" s="138"/>
      <x:c r="D91" s="138"/>
      <x:c r="E91" s="138"/>
      <x:c r="F91" s="138"/>
      <x:c r="G91" s="138"/>
      <x:c r="H91" s="138"/>
      <x:c r="I91" s="138"/>
      <x:c r="J91" s="138"/>
      <x:c r="K91" s="138"/>
      <x:c r="L91" s="138"/>
      <x:c r="M91" s="138"/>
      <x:c r="N91" s="138"/>
      <x:c r="O91" s="138"/>
      <x:c r="P91" s="138"/>
      <x:c r="Q91" s="138"/>
      <x:c r="R91" s="138"/>
      <x:c r="S91" s="138"/>
      <x:c r="T91" s="138"/>
      <x:c r="U91" s="138"/>
      <x:c r="V91" s="138"/>
      <x:c r="W91" s="138"/>
      <x:c r="X91" s="138"/>
      <x:c r="Y91" s="138"/>
      <x:c r="Z91" s="138"/>
    </x:row>
    <x:row r="92">
      <x:c r="A92" s="138"/>
      <x:c r="B92" s="138"/>
      <x:c r="C92" s="138"/>
      <x:c r="D92" s="138"/>
      <x:c r="E92" s="138"/>
      <x:c r="F92" s="138"/>
      <x:c r="G92" s="138"/>
      <x:c r="H92" s="138"/>
      <x:c r="I92" s="138"/>
      <x:c r="J92" s="138"/>
      <x:c r="K92" s="138"/>
      <x:c r="L92" s="138"/>
      <x:c r="M92" s="138"/>
      <x:c r="N92" s="138"/>
      <x:c r="O92" s="138"/>
      <x:c r="P92" s="138"/>
      <x:c r="Q92" s="138"/>
      <x:c r="R92" s="138"/>
      <x:c r="S92" s="138"/>
      <x:c r="T92" s="138"/>
      <x:c r="U92" s="138"/>
      <x:c r="V92" s="138"/>
      <x:c r="W92" s="138"/>
      <x:c r="X92" s="138"/>
      <x:c r="Y92" s="138"/>
      <x:c r="Z92" s="138"/>
    </x:row>
    <x:row r="93">
      <x:c r="A93" s="138"/>
      <x:c r="B93" s="138"/>
      <x:c r="C93" s="138"/>
      <x:c r="D93" s="138"/>
      <x:c r="E93" s="138"/>
      <x:c r="F93" s="138"/>
      <x:c r="G93" s="138"/>
      <x:c r="H93" s="138"/>
      <x:c r="I93" s="138"/>
      <x:c r="J93" s="138"/>
      <x:c r="K93" s="138"/>
      <x:c r="L93" s="138"/>
      <x:c r="M93" s="138"/>
      <x:c r="N93" s="138"/>
      <x:c r="O93" s="138"/>
      <x:c r="P93" s="138"/>
      <x:c r="Q93" s="138"/>
      <x:c r="R93" s="138"/>
      <x:c r="S93" s="138"/>
      <x:c r="T93" s="138"/>
      <x:c r="U93" s="138"/>
      <x:c r="V93" s="138"/>
      <x:c r="W93" s="138"/>
      <x:c r="X93" s="138"/>
      <x:c r="Y93" s="138"/>
      <x:c r="Z93" s="138"/>
    </x:row>
    <x:row r="94">
      <x:c r="A94" s="138"/>
      <x:c r="B94" s="138"/>
      <x:c r="C94" s="138"/>
      <x:c r="D94" s="138"/>
      <x:c r="E94" s="138"/>
      <x:c r="F94" s="138"/>
      <x:c r="G94" s="138"/>
      <x:c r="H94" s="138"/>
      <x:c r="I94" s="138"/>
      <x:c r="J94" s="138"/>
      <x:c r="K94" s="138"/>
      <x:c r="L94" s="138"/>
      <x:c r="M94" s="138"/>
      <x:c r="N94" s="138"/>
      <x:c r="O94" s="138"/>
      <x:c r="P94" s="138"/>
      <x:c r="Q94" s="138"/>
      <x:c r="R94" s="138"/>
      <x:c r="S94" s="138"/>
      <x:c r="T94" s="138"/>
      <x:c r="U94" s="138"/>
      <x:c r="V94" s="138"/>
      <x:c r="W94" s="138"/>
      <x:c r="X94" s="138"/>
      <x:c r="Y94" s="138"/>
      <x:c r="Z94" s="138"/>
    </x:row>
    <x:row r="95">
      <x:c r="A95" s="138"/>
      <x:c r="B95" s="138"/>
      <x:c r="C95" s="138"/>
      <x:c r="D95" s="138"/>
      <x:c r="E95" s="138"/>
      <x:c r="F95" s="138"/>
      <x:c r="G95" s="138"/>
      <x:c r="H95" s="138"/>
      <x:c r="I95" s="138"/>
      <x:c r="J95" s="138"/>
      <x:c r="K95" s="138"/>
      <x:c r="L95" s="138"/>
      <x:c r="M95" s="138"/>
      <x:c r="N95" s="138"/>
      <x:c r="O95" s="138"/>
      <x:c r="P95" s="138"/>
      <x:c r="Q95" s="138"/>
      <x:c r="R95" s="138"/>
      <x:c r="S95" s="138"/>
      <x:c r="T95" s="138"/>
      <x:c r="U95" s="138"/>
      <x:c r="V95" s="138"/>
      <x:c r="W95" s="138"/>
      <x:c r="X95" s="138"/>
      <x:c r="Y95" s="138"/>
      <x:c r="Z95" s="138"/>
    </x:row>
    <x:row r="96">
      <x:c r="A96" s="138"/>
      <x:c r="B96" s="138"/>
      <x:c r="C96" s="138"/>
      <x:c r="D96" s="138"/>
      <x:c r="E96" s="138"/>
      <x:c r="F96" s="138"/>
      <x:c r="G96" s="138"/>
      <x:c r="H96" s="138"/>
      <x:c r="I96" s="138"/>
      <x:c r="J96" s="138"/>
      <x:c r="K96" s="138"/>
      <x:c r="L96" s="138"/>
      <x:c r="M96" s="138"/>
      <x:c r="N96" s="138"/>
      <x:c r="O96" s="138"/>
      <x:c r="P96" s="138"/>
      <x:c r="Q96" s="138"/>
      <x:c r="R96" s="138"/>
      <x:c r="S96" s="138"/>
      <x:c r="T96" s="138"/>
      <x:c r="U96" s="138"/>
      <x:c r="V96" s="138"/>
      <x:c r="W96" s="138"/>
      <x:c r="X96" s="138"/>
      <x:c r="Y96" s="138"/>
      <x:c r="Z96" s="138"/>
    </x:row>
    <x:row r="97">
      <x:c r="A97" s="138"/>
      <x:c r="B97" s="138"/>
      <x:c r="C97" s="138"/>
      <x:c r="D97" s="138"/>
      <x:c r="E97" s="138"/>
      <x:c r="F97" s="138"/>
      <x:c r="G97" s="138"/>
      <x:c r="H97" s="138"/>
      <x:c r="I97" s="138"/>
      <x:c r="J97" s="138"/>
      <x:c r="K97" s="138"/>
      <x:c r="L97" s="138"/>
      <x:c r="M97" s="138"/>
      <x:c r="N97" s="138"/>
      <x:c r="O97" s="138"/>
      <x:c r="P97" s="138"/>
      <x:c r="Q97" s="138"/>
      <x:c r="R97" s="138"/>
      <x:c r="S97" s="138"/>
      <x:c r="T97" s="138"/>
      <x:c r="U97" s="138"/>
      <x:c r="V97" s="138"/>
      <x:c r="W97" s="138"/>
      <x:c r="X97" s="138"/>
      <x:c r="Y97" s="138"/>
      <x:c r="Z97" s="138"/>
    </x:row>
    <x:row r="98">
      <x:c r="A98" s="138"/>
      <x:c r="B98" s="138"/>
      <x:c r="C98" s="138"/>
      <x:c r="D98" s="138"/>
      <x:c r="E98" s="138"/>
      <x:c r="F98" s="138"/>
      <x:c r="G98" s="138"/>
      <x:c r="H98" s="138"/>
      <x:c r="I98" s="138"/>
      <x:c r="J98" s="138"/>
      <x:c r="K98" s="138"/>
      <x:c r="L98" s="138"/>
      <x:c r="M98" s="138"/>
      <x:c r="N98" s="138"/>
      <x:c r="O98" s="138"/>
      <x:c r="P98" s="138"/>
      <x:c r="Q98" s="138"/>
      <x:c r="R98" s="138"/>
      <x:c r="S98" s="138"/>
      <x:c r="T98" s="138"/>
      <x:c r="U98" s="138"/>
      <x:c r="V98" s="138"/>
      <x:c r="W98" s="138"/>
      <x:c r="X98" s="138"/>
      <x:c r="Y98" s="138"/>
      <x:c r="Z98" s="138"/>
    </x:row>
    <x:row r="99">
      <x:c r="A99" s="138"/>
      <x:c r="B99" s="138"/>
      <x:c r="C99" s="138"/>
      <x:c r="D99" s="138"/>
      <x:c r="E99" s="138"/>
      <x:c r="F99" s="138"/>
      <x:c r="G99" s="138"/>
      <x:c r="H99" s="138"/>
      <x:c r="I99" s="138"/>
      <x:c r="J99" s="138"/>
      <x:c r="K99" s="138"/>
      <x:c r="L99" s="138"/>
      <x:c r="M99" s="138"/>
      <x:c r="N99" s="138"/>
      <x:c r="O99" s="138"/>
      <x:c r="P99" s="138"/>
      <x:c r="Q99" s="138"/>
      <x:c r="R99" s="138"/>
      <x:c r="S99" s="138"/>
      <x:c r="T99" s="138"/>
      <x:c r="U99" s="138"/>
      <x:c r="V99" s="138"/>
      <x:c r="W99" s="138"/>
      <x:c r="X99" s="138"/>
      <x:c r="Y99" s="138"/>
      <x:c r="Z99" s="138"/>
    </x:row>
    <x:row r="100">
      <x:c r="A100" s="138"/>
      <x:c r="B100" s="138"/>
      <x:c r="C100" s="138"/>
      <x:c r="D100" s="138"/>
      <x:c r="E100" s="138"/>
      <x:c r="F100" s="138"/>
      <x:c r="G100" s="138"/>
      <x:c r="H100" s="138"/>
      <x:c r="I100" s="138"/>
      <x:c r="J100" s="138"/>
      <x:c r="K100" s="138"/>
      <x:c r="L100" s="138"/>
      <x:c r="M100" s="138"/>
      <x:c r="N100" s="138"/>
      <x:c r="O100" s="138"/>
      <x:c r="P100" s="138"/>
      <x:c r="Q100" s="138"/>
      <x:c r="R100" s="138"/>
      <x:c r="S100" s="138"/>
      <x:c r="T100" s="138"/>
      <x:c r="U100" s="138"/>
      <x:c r="V100" s="138"/>
      <x:c r="W100" s="138"/>
      <x:c r="X100" s="138"/>
      <x:c r="Y100" s="138"/>
      <x:c r="Z100" s="138"/>
    </x:row>
    <x:row r="101">
      <x:c r="A101" s="138"/>
      <x:c r="B101" s="138"/>
      <x:c r="C101" s="138"/>
      <x:c r="D101" s="138"/>
      <x:c r="E101" s="138"/>
      <x:c r="F101" s="138"/>
      <x:c r="G101" s="138"/>
      <x:c r="H101" s="138"/>
      <x:c r="I101" s="138"/>
      <x:c r="J101" s="138"/>
      <x:c r="K101" s="138"/>
      <x:c r="L101" s="138"/>
      <x:c r="M101" s="138"/>
      <x:c r="N101" s="138"/>
      <x:c r="O101" s="138"/>
      <x:c r="P101" s="138"/>
      <x:c r="Q101" s="138"/>
      <x:c r="R101" s="138"/>
      <x:c r="S101" s="138"/>
      <x:c r="T101" s="138"/>
      <x:c r="U101" s="138"/>
      <x:c r="V101" s="138"/>
      <x:c r="W101" s="138"/>
      <x:c r="X101" s="138"/>
      <x:c r="Y101" s="138"/>
      <x:c r="Z101" s="138"/>
    </x:row>
    <x:row r="102">
      <x:c r="A102" s="138"/>
      <x:c r="B102" s="138"/>
      <x:c r="C102" s="138"/>
      <x:c r="D102" s="138"/>
      <x:c r="E102" s="138"/>
      <x:c r="F102" s="138"/>
      <x:c r="G102" s="138"/>
      <x:c r="H102" s="138"/>
      <x:c r="I102" s="138"/>
      <x:c r="J102" s="138"/>
      <x:c r="K102" s="138"/>
      <x:c r="L102" s="138"/>
      <x:c r="M102" s="138"/>
      <x:c r="N102" s="138"/>
      <x:c r="O102" s="138"/>
      <x:c r="P102" s="138"/>
      <x:c r="Q102" s="138"/>
      <x:c r="R102" s="138"/>
      <x:c r="S102" s="138"/>
      <x:c r="T102" s="138"/>
      <x:c r="U102" s="138"/>
      <x:c r="V102" s="138"/>
      <x:c r="W102" s="138"/>
      <x:c r="X102" s="138"/>
      <x:c r="Y102" s="138"/>
      <x:c r="Z102" s="138"/>
    </x:row>
    <x:row r="103">
      <x:c r="A103" s="138"/>
      <x:c r="B103" s="138"/>
      <x:c r="C103" s="138"/>
      <x:c r="D103" s="138"/>
      <x:c r="E103" s="138"/>
      <x:c r="F103" s="138"/>
      <x:c r="G103" s="138"/>
      <x:c r="H103" s="138"/>
      <x:c r="I103" s="138"/>
      <x:c r="J103" s="138"/>
      <x:c r="K103" s="138"/>
      <x:c r="L103" s="138"/>
      <x:c r="M103" s="138"/>
      <x:c r="N103" s="138"/>
      <x:c r="O103" s="138"/>
      <x:c r="P103" s="138"/>
      <x:c r="Q103" s="138"/>
      <x:c r="R103" s="138"/>
      <x:c r="S103" s="138"/>
      <x:c r="T103" s="138"/>
      <x:c r="U103" s="138"/>
      <x:c r="V103" s="138"/>
      <x:c r="W103" s="138"/>
      <x:c r="X103" s="138"/>
      <x:c r="Y103" s="138"/>
      <x:c r="Z103" s="138"/>
    </x:row>
    <x:row r="104">
      <x:c r="A104" s="138"/>
      <x:c r="B104" s="138"/>
      <x:c r="C104" s="138"/>
      <x:c r="D104" s="138"/>
      <x:c r="E104" s="138"/>
      <x:c r="F104" s="138"/>
      <x:c r="G104" s="138"/>
      <x:c r="H104" s="138"/>
      <x:c r="I104" s="138"/>
      <x:c r="J104" s="138"/>
      <x:c r="K104" s="138"/>
      <x:c r="L104" s="138"/>
      <x:c r="M104" s="138"/>
      <x:c r="N104" s="138"/>
      <x:c r="O104" s="138"/>
      <x:c r="P104" s="138"/>
      <x:c r="Q104" s="138"/>
      <x:c r="R104" s="138"/>
      <x:c r="S104" s="138"/>
      <x:c r="T104" s="138"/>
      <x:c r="U104" s="138"/>
      <x:c r="V104" s="138"/>
      <x:c r="W104" s="138"/>
      <x:c r="X104" s="138"/>
      <x:c r="Y104" s="138"/>
      <x:c r="Z104" s="138"/>
    </x:row>
    <x:row r="105">
      <x:c r="A105" s="138"/>
      <x:c r="B105" s="138"/>
      <x:c r="C105" s="138"/>
      <x:c r="D105" s="138"/>
      <x:c r="E105" s="138"/>
      <x:c r="F105" s="138"/>
      <x:c r="G105" s="138"/>
      <x:c r="H105" s="138"/>
      <x:c r="I105" s="138"/>
      <x:c r="J105" s="138"/>
      <x:c r="K105" s="138"/>
      <x:c r="L105" s="138"/>
      <x:c r="M105" s="138"/>
      <x:c r="N105" s="138"/>
      <x:c r="O105" s="138"/>
      <x:c r="P105" s="138"/>
      <x:c r="Q105" s="138"/>
      <x:c r="R105" s="138"/>
      <x:c r="S105" s="138"/>
      <x:c r="T105" s="138"/>
      <x:c r="U105" s="138"/>
      <x:c r="V105" s="138"/>
      <x:c r="W105" s="138"/>
      <x:c r="X105" s="138"/>
      <x:c r="Y105" s="138"/>
      <x:c r="Z105" s="138"/>
    </x:row>
    <x:row r="106">
      <x:c r="A106" s="138"/>
      <x:c r="B106" s="138"/>
      <x:c r="C106" s="138"/>
      <x:c r="D106" s="138"/>
      <x:c r="E106" s="138"/>
      <x:c r="F106" s="138"/>
      <x:c r="G106" s="138"/>
      <x:c r="H106" s="138"/>
      <x:c r="I106" s="138"/>
      <x:c r="J106" s="138"/>
      <x:c r="K106" s="138"/>
      <x:c r="L106" s="138"/>
      <x:c r="M106" s="138"/>
      <x:c r="N106" s="138"/>
      <x:c r="O106" s="138"/>
      <x:c r="P106" s="138"/>
      <x:c r="Q106" s="138"/>
      <x:c r="R106" s="138"/>
      <x:c r="S106" s="138"/>
      <x:c r="T106" s="138"/>
      <x:c r="U106" s="138"/>
      <x:c r="V106" s="138"/>
      <x:c r="W106" s="138"/>
      <x:c r="X106" s="138"/>
      <x:c r="Y106" s="138"/>
      <x:c r="Z106" s="138"/>
    </x:row>
    <x:row r="107">
      <x:c r="A107" s="138"/>
      <x:c r="B107" s="138"/>
      <x:c r="C107" s="138"/>
      <x:c r="D107" s="138"/>
      <x:c r="E107" s="138"/>
      <x:c r="F107" s="138"/>
      <x:c r="G107" s="138"/>
      <x:c r="H107" s="138"/>
      <x:c r="I107" s="138"/>
      <x:c r="J107" s="138"/>
      <x:c r="K107" s="138"/>
      <x:c r="L107" s="138"/>
      <x:c r="M107" s="138"/>
      <x:c r="N107" s="138"/>
      <x:c r="O107" s="138"/>
      <x:c r="P107" s="138"/>
      <x:c r="Q107" s="138"/>
      <x:c r="R107" s="138"/>
      <x:c r="S107" s="138"/>
      <x:c r="T107" s="138"/>
      <x:c r="U107" s="138"/>
      <x:c r="V107" s="138"/>
      <x:c r="W107" s="138"/>
      <x:c r="X107" s="138"/>
      <x:c r="Y107" s="138"/>
      <x:c r="Z107" s="138"/>
    </x:row>
    <x:row r="108">
      <x:c r="A108" s="138"/>
      <x:c r="B108" s="138"/>
      <x:c r="C108" s="138"/>
      <x:c r="D108" s="138"/>
      <x:c r="E108" s="138"/>
      <x:c r="F108" s="138"/>
      <x:c r="G108" s="138"/>
      <x:c r="H108" s="138"/>
      <x:c r="I108" s="138"/>
      <x:c r="J108" s="138"/>
      <x:c r="K108" s="138"/>
      <x:c r="L108" s="138"/>
      <x:c r="M108" s="138"/>
      <x:c r="N108" s="138"/>
      <x:c r="O108" s="138"/>
      <x:c r="P108" s="138"/>
      <x:c r="Q108" s="138"/>
      <x:c r="R108" s="138"/>
      <x:c r="S108" s="138"/>
      <x:c r="T108" s="138"/>
      <x:c r="U108" s="138"/>
      <x:c r="V108" s="138"/>
      <x:c r="W108" s="138"/>
      <x:c r="X108" s="138"/>
      <x:c r="Y108" s="138"/>
      <x:c r="Z108" s="138"/>
    </x:row>
    <x:row r="109">
      <x:c r="A109" s="138"/>
      <x:c r="B109" s="138"/>
      <x:c r="C109" s="138"/>
      <x:c r="D109" s="138"/>
      <x:c r="E109" s="138"/>
      <x:c r="F109" s="138"/>
      <x:c r="G109" s="138"/>
      <x:c r="H109" s="138"/>
      <x:c r="I109" s="138"/>
      <x:c r="J109" s="138"/>
      <x:c r="K109" s="138"/>
      <x:c r="L109" s="138"/>
      <x:c r="M109" s="138"/>
      <x:c r="N109" s="138"/>
      <x:c r="O109" s="138"/>
      <x:c r="P109" s="138"/>
      <x:c r="Q109" s="138"/>
      <x:c r="R109" s="138"/>
      <x:c r="S109" s="138"/>
      <x:c r="T109" s="138"/>
      <x:c r="U109" s="138"/>
      <x:c r="V109" s="138"/>
      <x:c r="W109" s="138"/>
      <x:c r="X109" s="138"/>
      <x:c r="Y109" s="138"/>
      <x:c r="Z109" s="138"/>
    </x:row>
    <x:row r="110">
      <x:c r="A110" s="138"/>
      <x:c r="B110" s="138"/>
      <x:c r="C110" s="138"/>
      <x:c r="D110" s="138"/>
      <x:c r="E110" s="138"/>
      <x:c r="F110" s="138"/>
      <x:c r="G110" s="138"/>
      <x:c r="H110" s="138"/>
      <x:c r="I110" s="138"/>
      <x:c r="J110" s="138"/>
      <x:c r="K110" s="138"/>
      <x:c r="L110" s="138"/>
      <x:c r="M110" s="138"/>
      <x:c r="N110" s="138"/>
      <x:c r="O110" s="138"/>
      <x:c r="P110" s="138"/>
      <x:c r="Q110" s="138"/>
      <x:c r="R110" s="138"/>
      <x:c r="S110" s="138"/>
      <x:c r="T110" s="138"/>
      <x:c r="U110" s="138"/>
      <x:c r="V110" s="138"/>
      <x:c r="W110" s="138"/>
      <x:c r="X110" s="138"/>
      <x:c r="Y110" s="138"/>
      <x:c r="Z110" s="138"/>
    </x:row>
    <x:row r="111">
      <x:c r="A111" s="138"/>
      <x:c r="B111" s="138"/>
      <x:c r="C111" s="138"/>
      <x:c r="D111" s="138"/>
      <x:c r="E111" s="138"/>
      <x:c r="F111" s="138"/>
      <x:c r="G111" s="138"/>
      <x:c r="H111" s="138"/>
      <x:c r="I111" s="138"/>
      <x:c r="J111" s="138"/>
      <x:c r="K111" s="138"/>
      <x:c r="L111" s="138"/>
      <x:c r="M111" s="138"/>
      <x:c r="N111" s="138"/>
      <x:c r="O111" s="138"/>
      <x:c r="P111" s="138"/>
      <x:c r="Q111" s="138"/>
      <x:c r="R111" s="138"/>
      <x:c r="S111" s="138"/>
      <x:c r="T111" s="138"/>
      <x:c r="U111" s="138"/>
      <x:c r="V111" s="138"/>
      <x:c r="W111" s="138"/>
      <x:c r="X111" s="138"/>
      <x:c r="Y111" s="138"/>
      <x:c r="Z111" s="138"/>
    </x:row>
    <x:row r="112">
      <x:c r="A112" s="138"/>
      <x:c r="B112" s="138"/>
      <x:c r="C112" s="138"/>
      <x:c r="D112" s="138"/>
      <x:c r="E112" s="138"/>
      <x:c r="F112" s="138"/>
      <x:c r="G112" s="138"/>
      <x:c r="H112" s="138"/>
      <x:c r="I112" s="138"/>
      <x:c r="J112" s="138"/>
      <x:c r="K112" s="138"/>
      <x:c r="L112" s="138"/>
      <x:c r="M112" s="138"/>
      <x:c r="N112" s="138"/>
      <x:c r="O112" s="138"/>
      <x:c r="P112" s="138"/>
      <x:c r="Q112" s="138"/>
      <x:c r="R112" s="138"/>
      <x:c r="S112" s="138"/>
      <x:c r="T112" s="138"/>
      <x:c r="U112" s="138"/>
      <x:c r="V112" s="138"/>
      <x:c r="W112" s="138"/>
      <x:c r="X112" s="138"/>
      <x:c r="Y112" s="138"/>
      <x:c r="Z112" s="138"/>
    </x:row>
    <x:row r="113">
      <x:c r="A113" s="138"/>
      <x:c r="B113" s="138"/>
      <x:c r="C113" s="138"/>
      <x:c r="D113" s="138"/>
      <x:c r="E113" s="138"/>
      <x:c r="F113" s="138"/>
      <x:c r="G113" s="138"/>
      <x:c r="H113" s="138"/>
      <x:c r="I113" s="138"/>
      <x:c r="J113" s="138"/>
      <x:c r="K113" s="138"/>
      <x:c r="L113" s="138"/>
      <x:c r="M113" s="138"/>
      <x:c r="N113" s="138"/>
      <x:c r="O113" s="138"/>
      <x:c r="P113" s="138"/>
      <x:c r="Q113" s="138"/>
      <x:c r="R113" s="138"/>
      <x:c r="S113" s="138"/>
      <x:c r="T113" s="138"/>
      <x:c r="U113" s="138"/>
      <x:c r="V113" s="138"/>
      <x:c r="W113" s="138"/>
      <x:c r="X113" s="138"/>
      <x:c r="Y113" s="138"/>
      <x:c r="Z113" s="138"/>
    </x:row>
    <x:row r="114">
      <x:c r="A114" s="138"/>
      <x:c r="B114" s="138"/>
      <x:c r="C114" s="138"/>
      <x:c r="D114" s="138"/>
      <x:c r="E114" s="138"/>
      <x:c r="F114" s="138"/>
      <x:c r="G114" s="138"/>
      <x:c r="H114" s="138"/>
      <x:c r="I114" s="138"/>
      <x:c r="J114" s="138"/>
      <x:c r="K114" s="138"/>
      <x:c r="L114" s="138"/>
      <x:c r="M114" s="138"/>
      <x:c r="N114" s="138"/>
      <x:c r="O114" s="138"/>
      <x:c r="P114" s="138"/>
      <x:c r="Q114" s="138"/>
      <x:c r="R114" s="138"/>
      <x:c r="S114" s="138"/>
      <x:c r="T114" s="138"/>
      <x:c r="U114" s="138"/>
      <x:c r="V114" s="138"/>
      <x:c r="W114" s="138"/>
      <x:c r="X114" s="138"/>
      <x:c r="Y114" s="138"/>
      <x:c r="Z114" s="138"/>
    </x:row>
    <x:row r="115">
      <x:c r="A115" s="138"/>
      <x:c r="B115" s="138"/>
      <x:c r="C115" s="138"/>
      <x:c r="D115" s="138"/>
      <x:c r="E115" s="138"/>
      <x:c r="F115" s="138"/>
      <x:c r="G115" s="138"/>
      <x:c r="H115" s="138"/>
      <x:c r="I115" s="138"/>
      <x:c r="J115" s="138"/>
      <x:c r="K115" s="138"/>
      <x:c r="L115" s="138"/>
      <x:c r="M115" s="138"/>
      <x:c r="N115" s="138"/>
      <x:c r="O115" s="138"/>
      <x:c r="P115" s="138"/>
      <x:c r="Q115" s="138"/>
      <x:c r="R115" s="138"/>
      <x:c r="S115" s="138"/>
      <x:c r="T115" s="138"/>
      <x:c r="U115" s="138"/>
      <x:c r="V115" s="138"/>
      <x:c r="W115" s="138"/>
      <x:c r="X115" s="138"/>
      <x:c r="Y115" s="138"/>
      <x:c r="Z115" s="138"/>
    </x:row>
    <x:row r="116">
      <x:c r="A116" s="138"/>
      <x:c r="B116" s="138"/>
      <x:c r="C116" s="138"/>
      <x:c r="D116" s="138"/>
      <x:c r="E116" s="138"/>
      <x:c r="F116" s="138"/>
      <x:c r="G116" s="138"/>
      <x:c r="H116" s="138"/>
      <x:c r="I116" s="138"/>
      <x:c r="J116" s="138"/>
      <x:c r="K116" s="138"/>
      <x:c r="L116" s="138"/>
      <x:c r="M116" s="138"/>
      <x:c r="N116" s="138"/>
      <x:c r="O116" s="138"/>
      <x:c r="P116" s="138"/>
      <x:c r="Q116" s="138"/>
      <x:c r="R116" s="138"/>
      <x:c r="S116" s="138"/>
      <x:c r="T116" s="138"/>
      <x:c r="U116" s="138"/>
      <x:c r="V116" s="138"/>
      <x:c r="W116" s="138"/>
      <x:c r="X116" s="138"/>
      <x:c r="Y116" s="138"/>
      <x:c r="Z116" s="138"/>
    </x:row>
    <x:row r="117">
      <x:c r="A117" s="138"/>
      <x:c r="B117" s="138"/>
      <x:c r="C117" s="138"/>
      <x:c r="D117" s="138"/>
      <x:c r="E117" s="138"/>
      <x:c r="F117" s="138"/>
      <x:c r="G117" s="138"/>
      <x:c r="H117" s="138"/>
      <x:c r="I117" s="138"/>
      <x:c r="J117" s="138"/>
      <x:c r="K117" s="138"/>
      <x:c r="L117" s="138"/>
      <x:c r="M117" s="138"/>
      <x:c r="N117" s="138"/>
      <x:c r="O117" s="138"/>
      <x:c r="P117" s="138"/>
      <x:c r="Q117" s="138"/>
      <x:c r="R117" s="138"/>
      <x:c r="S117" s="138"/>
      <x:c r="T117" s="138"/>
      <x:c r="U117" s="138"/>
      <x:c r="V117" s="138"/>
      <x:c r="W117" s="138"/>
      <x:c r="X117" s="138"/>
      <x:c r="Y117" s="138"/>
      <x:c r="Z117" s="138"/>
    </x:row>
    <x:row r="118">
      <x:c r="A118" s="138"/>
      <x:c r="B118" s="138"/>
      <x:c r="C118" s="138"/>
      <x:c r="D118" s="138"/>
      <x:c r="E118" s="138"/>
      <x:c r="F118" s="138"/>
      <x:c r="G118" s="138"/>
      <x:c r="H118" s="138"/>
      <x:c r="I118" s="138"/>
      <x:c r="J118" s="138"/>
      <x:c r="K118" s="138"/>
      <x:c r="L118" s="138"/>
      <x:c r="M118" s="138"/>
      <x:c r="N118" s="138"/>
      <x:c r="O118" s="138"/>
      <x:c r="P118" s="138"/>
      <x:c r="Q118" s="138"/>
      <x:c r="R118" s="138"/>
      <x:c r="S118" s="138"/>
      <x:c r="T118" s="138"/>
      <x:c r="U118" s="138"/>
      <x:c r="V118" s="138"/>
      <x:c r="W118" s="138"/>
      <x:c r="X118" s="138"/>
      <x:c r="Y118" s="138"/>
      <x:c r="Z118" s="138"/>
    </x:row>
    <x:row r="119">
      <x:c r="A119" s="138"/>
      <x:c r="B119" s="138"/>
      <x:c r="C119" s="138"/>
      <x:c r="D119" s="138"/>
      <x:c r="E119" s="138"/>
      <x:c r="F119" s="138"/>
      <x:c r="G119" s="138"/>
      <x:c r="H119" s="138"/>
      <x:c r="I119" s="138"/>
      <x:c r="J119" s="138"/>
      <x:c r="K119" s="138"/>
      <x:c r="L119" s="138"/>
      <x:c r="M119" s="138"/>
      <x:c r="N119" s="138"/>
      <x:c r="O119" s="138"/>
      <x:c r="P119" s="138"/>
      <x:c r="Q119" s="138"/>
      <x:c r="R119" s="138"/>
      <x:c r="S119" s="138"/>
      <x:c r="T119" s="138"/>
      <x:c r="U119" s="138"/>
      <x:c r="V119" s="138"/>
      <x:c r="W119" s="138"/>
      <x:c r="X119" s="138"/>
      <x:c r="Y119" s="138"/>
      <x:c r="Z119" s="138"/>
    </x:row>
    <x:row r="120">
      <x:c r="A120" s="138"/>
      <x:c r="B120" s="138"/>
      <x:c r="C120" s="138"/>
      <x:c r="D120" s="138"/>
      <x:c r="E120" s="138"/>
      <x:c r="F120" s="138"/>
      <x:c r="G120" s="138"/>
      <x:c r="H120" s="138"/>
      <x:c r="I120" s="138"/>
      <x:c r="J120" s="138"/>
      <x:c r="K120" s="138"/>
      <x:c r="L120" s="138"/>
      <x:c r="M120" s="138"/>
      <x:c r="N120" s="138"/>
      <x:c r="O120" s="138"/>
      <x:c r="P120" s="138"/>
      <x:c r="Q120" s="138"/>
      <x:c r="R120" s="138"/>
      <x:c r="S120" s="138"/>
      <x:c r="T120" s="138"/>
      <x:c r="U120" s="138"/>
      <x:c r="V120" s="138"/>
      <x:c r="W120" s="138"/>
      <x:c r="X120" s="138"/>
      <x:c r="Y120" s="138"/>
      <x:c r="Z120" s="138"/>
    </x:row>
    <x:row r="121">
      <x:c r="A121" s="138"/>
      <x:c r="B121" s="138"/>
      <x:c r="C121" s="138"/>
      <x:c r="D121" s="138"/>
      <x:c r="E121" s="138"/>
      <x:c r="F121" s="138"/>
      <x:c r="G121" s="138"/>
      <x:c r="H121" s="138"/>
      <x:c r="I121" s="138"/>
      <x:c r="J121" s="138"/>
      <x:c r="K121" s="138"/>
      <x:c r="L121" s="138"/>
      <x:c r="M121" s="138"/>
      <x:c r="N121" s="138"/>
      <x:c r="O121" s="138"/>
      <x:c r="P121" s="138"/>
      <x:c r="Q121" s="138"/>
      <x:c r="R121" s="138"/>
      <x:c r="S121" s="138"/>
      <x:c r="T121" s="138"/>
      <x:c r="U121" s="138"/>
      <x:c r="V121" s="138"/>
      <x:c r="W121" s="138"/>
      <x:c r="X121" s="138"/>
      <x:c r="Y121" s="138"/>
      <x:c r="Z121" s="138"/>
    </x:row>
    <x:row r="122">
      <x:c r="A122" s="138"/>
      <x:c r="B122" s="138"/>
      <x:c r="C122" s="138"/>
      <x:c r="D122" s="138"/>
      <x:c r="E122" s="138"/>
      <x:c r="F122" s="138"/>
      <x:c r="G122" s="138"/>
      <x:c r="H122" s="138"/>
      <x:c r="I122" s="138"/>
      <x:c r="J122" s="138"/>
      <x:c r="K122" s="138"/>
      <x:c r="L122" s="138"/>
      <x:c r="M122" s="138"/>
      <x:c r="N122" s="138"/>
      <x:c r="O122" s="138"/>
      <x:c r="P122" s="138"/>
      <x:c r="Q122" s="138"/>
      <x:c r="R122" s="138"/>
      <x:c r="S122" s="138"/>
      <x:c r="T122" s="138"/>
      <x:c r="U122" s="138"/>
      <x:c r="V122" s="138"/>
      <x:c r="W122" s="138"/>
      <x:c r="X122" s="138"/>
      <x:c r="Y122" s="138"/>
      <x:c r="Z122" s="138"/>
    </x:row>
    <x:row r="123">
      <x:c r="A123" s="138"/>
      <x:c r="B123" s="138"/>
      <x:c r="C123" s="138"/>
      <x:c r="D123" s="138"/>
      <x:c r="E123" s="138"/>
      <x:c r="F123" s="138"/>
      <x:c r="G123" s="138"/>
      <x:c r="H123" s="138"/>
      <x:c r="I123" s="138"/>
      <x:c r="J123" s="138"/>
      <x:c r="K123" s="138"/>
      <x:c r="L123" s="138"/>
      <x:c r="M123" s="138"/>
      <x:c r="N123" s="138"/>
      <x:c r="O123" s="138"/>
      <x:c r="P123" s="138"/>
      <x:c r="Q123" s="138"/>
      <x:c r="R123" s="138"/>
      <x:c r="S123" s="138"/>
      <x:c r="T123" s="138"/>
      <x:c r="U123" s="138"/>
      <x:c r="V123" s="138"/>
      <x:c r="W123" s="138"/>
      <x:c r="X123" s="138"/>
      <x:c r="Y123" s="138"/>
      <x:c r="Z123" s="138"/>
    </x:row>
    <x:row r="124">
      <x:c r="A124" s="138"/>
      <x:c r="B124" s="138"/>
      <x:c r="C124" s="138"/>
      <x:c r="D124" s="138"/>
      <x:c r="E124" s="138"/>
      <x:c r="F124" s="138"/>
      <x:c r="G124" s="138"/>
      <x:c r="H124" s="138"/>
      <x:c r="I124" s="138"/>
      <x:c r="J124" s="138"/>
      <x:c r="K124" s="138"/>
      <x:c r="L124" s="138"/>
      <x:c r="M124" s="138"/>
      <x:c r="N124" s="138"/>
      <x:c r="O124" s="138"/>
      <x:c r="P124" s="138"/>
      <x:c r="Q124" s="138"/>
      <x:c r="R124" s="138"/>
      <x:c r="S124" s="138"/>
      <x:c r="T124" s="138"/>
      <x:c r="U124" s="138"/>
      <x:c r="V124" s="138"/>
      <x:c r="W124" s="138"/>
      <x:c r="X124" s="138"/>
      <x:c r="Y124" s="138"/>
      <x:c r="Z124" s="138"/>
    </x:row>
    <x:row r="125">
      <x:c r="A125" s="138"/>
      <x:c r="B125" s="138"/>
      <x:c r="C125" s="138"/>
      <x:c r="D125" s="138"/>
      <x:c r="E125" s="138"/>
      <x:c r="F125" s="138"/>
      <x:c r="G125" s="138"/>
      <x:c r="H125" s="138"/>
      <x:c r="I125" s="138"/>
      <x:c r="J125" s="138"/>
      <x:c r="K125" s="138"/>
      <x:c r="L125" s="138"/>
      <x:c r="M125" s="138"/>
      <x:c r="N125" s="138"/>
      <x:c r="O125" s="138"/>
      <x:c r="P125" s="138"/>
      <x:c r="Q125" s="138"/>
      <x:c r="R125" s="138"/>
      <x:c r="S125" s="138"/>
      <x:c r="T125" s="138"/>
      <x:c r="U125" s="138"/>
      <x:c r="V125" s="138"/>
      <x:c r="W125" s="138"/>
      <x:c r="X125" s="138"/>
      <x:c r="Y125" s="138"/>
      <x:c r="Z125" s="138"/>
    </x:row>
    <x:row r="126">
      <x:c r="A126" s="138"/>
      <x:c r="B126" s="138"/>
      <x:c r="C126" s="138"/>
      <x:c r="D126" s="138"/>
      <x:c r="E126" s="138"/>
      <x:c r="F126" s="138"/>
      <x:c r="G126" s="138"/>
      <x:c r="H126" s="138"/>
      <x:c r="I126" s="138"/>
      <x:c r="J126" s="138"/>
      <x:c r="K126" s="138"/>
      <x:c r="L126" s="138"/>
      <x:c r="M126" s="138"/>
      <x:c r="N126" s="138"/>
      <x:c r="O126" s="138"/>
      <x:c r="P126" s="138"/>
      <x:c r="Q126" s="138"/>
      <x:c r="R126" s="138"/>
      <x:c r="S126" s="138"/>
      <x:c r="T126" s="138"/>
      <x:c r="U126" s="138"/>
      <x:c r="V126" s="138"/>
      <x:c r="W126" s="138"/>
      <x:c r="X126" s="138"/>
      <x:c r="Y126" s="138"/>
      <x:c r="Z126" s="138"/>
    </x:row>
    <x:row r="127">
      <x:c r="A127" s="138"/>
      <x:c r="B127" s="138"/>
      <x:c r="C127" s="138"/>
      <x:c r="D127" s="138"/>
      <x:c r="E127" s="138"/>
      <x:c r="F127" s="138"/>
      <x:c r="G127" s="138"/>
      <x:c r="H127" s="138"/>
      <x:c r="I127" s="138"/>
      <x:c r="J127" s="138"/>
      <x:c r="K127" s="138"/>
      <x:c r="L127" s="138"/>
      <x:c r="M127" s="138"/>
      <x:c r="N127" s="138"/>
      <x:c r="O127" s="138"/>
      <x:c r="P127" s="138"/>
      <x:c r="Q127" s="138"/>
      <x:c r="R127" s="138"/>
      <x:c r="S127" s="138"/>
      <x:c r="T127" s="138"/>
      <x:c r="U127" s="138"/>
      <x:c r="V127" s="138"/>
      <x:c r="W127" s="138"/>
      <x:c r="X127" s="138"/>
      <x:c r="Y127" s="138"/>
      <x:c r="Z127" s="138"/>
    </x:row>
    <x:row r="128">
      <x:c r="A128" s="138"/>
      <x:c r="B128" s="138"/>
      <x:c r="C128" s="138"/>
      <x:c r="D128" s="138"/>
      <x:c r="E128" s="138"/>
      <x:c r="F128" s="138"/>
      <x:c r="G128" s="138"/>
      <x:c r="H128" s="138"/>
      <x:c r="I128" s="138"/>
      <x:c r="J128" s="138"/>
      <x:c r="K128" s="138"/>
      <x:c r="L128" s="138"/>
      <x:c r="M128" s="138"/>
      <x:c r="N128" s="138"/>
      <x:c r="O128" s="138"/>
      <x:c r="P128" s="138"/>
      <x:c r="Q128" s="138"/>
      <x:c r="R128" s="138"/>
      <x:c r="S128" s="138"/>
      <x:c r="T128" s="138"/>
      <x:c r="U128" s="138"/>
      <x:c r="V128" s="138"/>
      <x:c r="W128" s="138"/>
      <x:c r="X128" s="138"/>
      <x:c r="Y128" s="138"/>
      <x:c r="Z128" s="138"/>
    </x:row>
    <x:row r="129">
      <x:c r="A129" s="138"/>
      <x:c r="B129" s="138"/>
      <x:c r="C129" s="138"/>
      <x:c r="D129" s="138"/>
      <x:c r="E129" s="138"/>
      <x:c r="F129" s="138"/>
      <x:c r="G129" s="138"/>
      <x:c r="H129" s="138"/>
      <x:c r="I129" s="138"/>
      <x:c r="J129" s="138"/>
      <x:c r="K129" s="138"/>
      <x:c r="L129" s="138"/>
      <x:c r="M129" s="138"/>
      <x:c r="N129" s="138"/>
      <x:c r="O129" s="138"/>
      <x:c r="P129" s="138"/>
      <x:c r="Q129" s="138"/>
      <x:c r="R129" s="138"/>
      <x:c r="S129" s="138"/>
      <x:c r="T129" s="138"/>
      <x:c r="U129" s="138"/>
      <x:c r="V129" s="138"/>
      <x:c r="W129" s="138"/>
      <x:c r="X129" s="138"/>
      <x:c r="Y129" s="138"/>
      <x:c r="Z129" s="138"/>
    </x:row>
    <x:row r="130">
      <x:c r="A130" s="138"/>
      <x:c r="B130" s="138"/>
      <x:c r="C130" s="138"/>
      <x:c r="D130" s="138"/>
      <x:c r="E130" s="138"/>
      <x:c r="F130" s="138"/>
      <x:c r="G130" s="138"/>
      <x:c r="H130" s="138"/>
      <x:c r="I130" s="138"/>
      <x:c r="J130" s="138"/>
      <x:c r="K130" s="138"/>
      <x:c r="L130" s="138"/>
      <x:c r="M130" s="138"/>
      <x:c r="N130" s="138"/>
      <x:c r="O130" s="138"/>
      <x:c r="P130" s="138"/>
      <x:c r="Q130" s="138"/>
      <x:c r="R130" s="138"/>
      <x:c r="S130" s="138"/>
      <x:c r="T130" s="138"/>
      <x:c r="U130" s="138"/>
      <x:c r="V130" s="138"/>
      <x:c r="W130" s="138"/>
      <x:c r="X130" s="138"/>
      <x:c r="Y130" s="138"/>
      <x:c r="Z130" s="138"/>
    </x:row>
    <x:row r="131">
      <x:c r="A131" s="138"/>
      <x:c r="B131" s="138"/>
      <x:c r="C131" s="138"/>
      <x:c r="D131" s="138"/>
      <x:c r="E131" s="138"/>
      <x:c r="F131" s="138"/>
      <x:c r="G131" s="138"/>
      <x:c r="H131" s="138"/>
      <x:c r="I131" s="138"/>
      <x:c r="J131" s="138"/>
      <x:c r="K131" s="138"/>
      <x:c r="L131" s="138"/>
      <x:c r="M131" s="138"/>
      <x:c r="N131" s="138"/>
      <x:c r="O131" s="138"/>
      <x:c r="P131" s="138"/>
      <x:c r="Q131" s="138"/>
      <x:c r="R131" s="138"/>
      <x:c r="S131" s="138"/>
      <x:c r="T131" s="138"/>
      <x:c r="U131" s="138"/>
      <x:c r="V131" s="138"/>
      <x:c r="W131" s="138"/>
      <x:c r="X131" s="138"/>
      <x:c r="Y131" s="138"/>
      <x:c r="Z131" s="138"/>
    </x:row>
    <x:row r="132">
      <x:c r="A132" s="138"/>
      <x:c r="B132" s="138"/>
      <x:c r="C132" s="138"/>
      <x:c r="D132" s="138"/>
      <x:c r="E132" s="138"/>
      <x:c r="F132" s="138"/>
      <x:c r="G132" s="138"/>
      <x:c r="H132" s="138"/>
      <x:c r="I132" s="138"/>
      <x:c r="J132" s="138"/>
      <x:c r="K132" s="138"/>
      <x:c r="L132" s="138"/>
      <x:c r="M132" s="138"/>
      <x:c r="N132" s="138"/>
      <x:c r="O132" s="138"/>
      <x:c r="P132" s="138"/>
      <x:c r="Q132" s="138"/>
      <x:c r="R132" s="138"/>
      <x:c r="S132" s="138"/>
      <x:c r="T132" s="138"/>
      <x:c r="U132" s="138"/>
      <x:c r="V132" s="138"/>
      <x:c r="W132" s="138"/>
      <x:c r="X132" s="138"/>
      <x:c r="Y132" s="138"/>
      <x:c r="Z132" s="138"/>
    </x:row>
    <x:row r="133">
      <x:c r="A133" s="138"/>
      <x:c r="B133" s="138"/>
      <x:c r="C133" s="138"/>
      <x:c r="D133" s="138"/>
      <x:c r="E133" s="138"/>
      <x:c r="F133" s="138"/>
      <x:c r="G133" s="138"/>
      <x:c r="H133" s="138"/>
      <x:c r="I133" s="138"/>
      <x:c r="J133" s="138"/>
      <x:c r="K133" s="138"/>
      <x:c r="L133" s="138"/>
      <x:c r="M133" s="138"/>
      <x:c r="N133" s="138"/>
      <x:c r="O133" s="138"/>
      <x:c r="P133" s="138"/>
      <x:c r="Q133" s="138"/>
      <x:c r="R133" s="138"/>
      <x:c r="S133" s="138"/>
      <x:c r="T133" s="138"/>
      <x:c r="U133" s="138"/>
      <x:c r="V133" s="138"/>
      <x:c r="W133" s="138"/>
      <x:c r="X133" s="138"/>
      <x:c r="Y133" s="138"/>
      <x:c r="Z133" s="138"/>
    </x:row>
    <x:row r="134">
      <x:c r="A134" s="138"/>
      <x:c r="B134" s="138"/>
      <x:c r="C134" s="138"/>
      <x:c r="D134" s="138"/>
      <x:c r="E134" s="138"/>
      <x:c r="F134" s="138"/>
      <x:c r="G134" s="138"/>
      <x:c r="H134" s="138"/>
      <x:c r="I134" s="138"/>
      <x:c r="J134" s="138"/>
      <x:c r="K134" s="138"/>
      <x:c r="L134" s="138"/>
      <x:c r="M134" s="138"/>
      <x:c r="N134" s="138"/>
      <x:c r="O134" s="138"/>
      <x:c r="P134" s="138"/>
      <x:c r="Q134" s="138"/>
      <x:c r="R134" s="138"/>
      <x:c r="S134" s="138"/>
      <x:c r="T134" s="138"/>
      <x:c r="U134" s="138"/>
      <x:c r="V134" s="138"/>
      <x:c r="W134" s="138"/>
      <x:c r="X134" s="138"/>
      <x:c r="Y134" s="138"/>
      <x:c r="Z134" s="138"/>
    </x:row>
    <x:row r="135">
      <x:c r="A135" s="138"/>
      <x:c r="B135" s="138"/>
      <x:c r="C135" s="138"/>
      <x:c r="D135" s="138"/>
      <x:c r="E135" s="138"/>
      <x:c r="F135" s="138"/>
      <x:c r="G135" s="138"/>
      <x:c r="H135" s="138"/>
      <x:c r="I135" s="138"/>
      <x:c r="J135" s="138"/>
      <x:c r="K135" s="138"/>
      <x:c r="L135" s="138"/>
      <x:c r="M135" s="138"/>
      <x:c r="N135" s="138"/>
      <x:c r="O135" s="138"/>
      <x:c r="P135" s="138"/>
      <x:c r="Q135" s="138"/>
      <x:c r="R135" s="138"/>
      <x:c r="S135" s="138"/>
      <x:c r="T135" s="138"/>
      <x:c r="U135" s="138"/>
      <x:c r="V135" s="138"/>
      <x:c r="W135" s="138"/>
      <x:c r="X135" s="138"/>
      <x:c r="Y135" s="138"/>
      <x:c r="Z135" s="138"/>
    </x:row>
    <x:row r="136">
      <x:c r="A136" s="138"/>
      <x:c r="B136" s="138"/>
      <x:c r="C136" s="138"/>
      <x:c r="D136" s="138"/>
      <x:c r="E136" s="138"/>
      <x:c r="F136" s="138"/>
      <x:c r="G136" s="138"/>
      <x:c r="H136" s="138"/>
      <x:c r="I136" s="138"/>
      <x:c r="J136" s="138"/>
      <x:c r="K136" s="138"/>
      <x:c r="L136" s="138"/>
      <x:c r="M136" s="138"/>
      <x:c r="N136" s="138"/>
      <x:c r="O136" s="138"/>
      <x:c r="P136" s="138"/>
      <x:c r="Q136" s="138"/>
      <x:c r="R136" s="138"/>
      <x:c r="S136" s="138"/>
      <x:c r="T136" s="138"/>
      <x:c r="U136" s="138"/>
      <x:c r="V136" s="138"/>
      <x:c r="W136" s="138"/>
      <x:c r="X136" s="138"/>
      <x:c r="Y136" s="138"/>
      <x:c r="Z136" s="138"/>
    </x:row>
    <x:row r="137">
      <x:c r="A137" s="138"/>
      <x:c r="B137" s="138"/>
      <x:c r="C137" s="138"/>
      <x:c r="D137" s="138"/>
      <x:c r="E137" s="138"/>
      <x:c r="F137" s="138"/>
      <x:c r="G137" s="138"/>
      <x:c r="H137" s="138"/>
      <x:c r="I137" s="138"/>
      <x:c r="J137" s="138"/>
      <x:c r="K137" s="138"/>
      <x:c r="L137" s="138"/>
      <x:c r="M137" s="138"/>
      <x:c r="N137" s="138"/>
      <x:c r="O137" s="138"/>
      <x:c r="P137" s="138"/>
      <x:c r="Q137" s="138"/>
      <x:c r="R137" s="138"/>
      <x:c r="S137" s="138"/>
      <x:c r="T137" s="138"/>
      <x:c r="U137" s="138"/>
      <x:c r="V137" s="138"/>
      <x:c r="W137" s="138"/>
      <x:c r="X137" s="138"/>
      <x:c r="Y137" s="138"/>
      <x:c r="Z137" s="138"/>
    </x:row>
    <x:row r="138">
      <x:c r="A138" s="138"/>
      <x:c r="B138" s="138"/>
      <x:c r="C138" s="138"/>
      <x:c r="D138" s="138"/>
      <x:c r="E138" s="138"/>
      <x:c r="F138" s="138"/>
      <x:c r="G138" s="138"/>
      <x:c r="H138" s="138"/>
      <x:c r="I138" s="138"/>
      <x:c r="J138" s="138"/>
      <x:c r="K138" s="138"/>
      <x:c r="L138" s="138"/>
      <x:c r="M138" s="138"/>
      <x:c r="N138" s="138"/>
      <x:c r="O138" s="138"/>
      <x:c r="P138" s="138"/>
      <x:c r="Q138" s="138"/>
      <x:c r="R138" s="138"/>
      <x:c r="S138" s="138"/>
      <x:c r="T138" s="138"/>
      <x:c r="U138" s="138"/>
      <x:c r="V138" s="138"/>
      <x:c r="W138" s="138"/>
      <x:c r="X138" s="138"/>
      <x:c r="Y138" s="138"/>
      <x:c r="Z138" s="138"/>
    </x:row>
    <x:row r="139">
      <x:c r="A139" s="138"/>
      <x:c r="B139" s="138"/>
      <x:c r="C139" s="138"/>
      <x:c r="D139" s="138"/>
      <x:c r="E139" s="138"/>
      <x:c r="F139" s="138"/>
      <x:c r="G139" s="138"/>
      <x:c r="H139" s="138"/>
      <x:c r="I139" s="138"/>
      <x:c r="J139" s="138"/>
      <x:c r="K139" s="138"/>
      <x:c r="L139" s="138"/>
      <x:c r="M139" s="138"/>
      <x:c r="N139" s="138"/>
      <x:c r="O139" s="138"/>
      <x:c r="P139" s="138"/>
      <x:c r="Q139" s="138"/>
      <x:c r="R139" s="138"/>
      <x:c r="S139" s="138"/>
      <x:c r="T139" s="138"/>
      <x:c r="U139" s="138"/>
      <x:c r="V139" s="138"/>
      <x:c r="W139" s="138"/>
      <x:c r="X139" s="138"/>
      <x:c r="Y139" s="138"/>
      <x:c r="Z139" s="138"/>
    </x:row>
    <x:row r="140">
      <x:c r="A140" s="138"/>
      <x:c r="B140" s="138"/>
      <x:c r="C140" s="138"/>
      <x:c r="D140" s="138"/>
      <x:c r="E140" s="138"/>
      <x:c r="F140" s="138"/>
      <x:c r="G140" s="138"/>
      <x:c r="H140" s="138"/>
      <x:c r="I140" s="138"/>
      <x:c r="J140" s="138"/>
      <x:c r="K140" s="138"/>
      <x:c r="L140" s="138"/>
      <x:c r="M140" s="138"/>
      <x:c r="N140" s="138"/>
      <x:c r="O140" s="138"/>
      <x:c r="P140" s="138"/>
      <x:c r="Q140" s="138"/>
      <x:c r="R140" s="138"/>
      <x:c r="S140" s="138"/>
      <x:c r="T140" s="138"/>
      <x:c r="U140" s="138"/>
      <x:c r="V140" s="138"/>
      <x:c r="W140" s="138"/>
      <x:c r="X140" s="138"/>
      <x:c r="Y140" s="138"/>
      <x:c r="Z140" s="138"/>
    </x:row>
    <x:row r="141">
      <x:c r="A141" s="138"/>
      <x:c r="B141" s="138"/>
      <x:c r="C141" s="138"/>
      <x:c r="D141" s="138"/>
      <x:c r="E141" s="138"/>
      <x:c r="F141" s="138"/>
      <x:c r="G141" s="138"/>
      <x:c r="H141" s="138"/>
      <x:c r="I141" s="138"/>
      <x:c r="J141" s="138"/>
      <x:c r="K141" s="138"/>
      <x:c r="L141" s="138"/>
      <x:c r="M141" s="138"/>
      <x:c r="N141" s="138"/>
      <x:c r="O141" s="138"/>
      <x:c r="P141" s="138"/>
      <x:c r="Q141" s="138"/>
      <x:c r="R141" s="138"/>
      <x:c r="S141" s="138"/>
      <x:c r="T141" s="138"/>
      <x:c r="U141" s="138"/>
      <x:c r="V141" s="138"/>
      <x:c r="W141" s="138"/>
      <x:c r="X141" s="138"/>
      <x:c r="Y141" s="138"/>
      <x:c r="Z141" s="138"/>
    </x:row>
    <x:row r="142">
      <x:c r="A142" s="138"/>
      <x:c r="B142" s="138"/>
      <x:c r="C142" s="138"/>
      <x:c r="D142" s="138"/>
      <x:c r="E142" s="138"/>
      <x:c r="F142" s="138"/>
      <x:c r="G142" s="138"/>
      <x:c r="H142" s="138"/>
      <x:c r="I142" s="138"/>
      <x:c r="J142" s="138"/>
      <x:c r="K142" s="138"/>
      <x:c r="L142" s="138"/>
      <x:c r="M142" s="138"/>
      <x:c r="N142" s="138"/>
      <x:c r="O142" s="138"/>
      <x:c r="P142" s="138"/>
      <x:c r="Q142" s="138"/>
      <x:c r="R142" s="138"/>
      <x:c r="S142" s="138"/>
      <x:c r="T142" s="138"/>
      <x:c r="U142" s="138"/>
      <x:c r="V142" s="138"/>
      <x:c r="W142" s="138"/>
      <x:c r="X142" s="138"/>
      <x:c r="Y142" s="138"/>
      <x:c r="Z142" s="138"/>
    </x:row>
    <x:row r="143">
      <x:c r="A143" s="138"/>
      <x:c r="B143" s="138"/>
      <x:c r="C143" s="138"/>
      <x:c r="D143" s="138"/>
      <x:c r="E143" s="138"/>
      <x:c r="F143" s="138"/>
      <x:c r="G143" s="138"/>
      <x:c r="H143" s="138"/>
      <x:c r="I143" s="138"/>
      <x:c r="J143" s="138"/>
      <x:c r="K143" s="138"/>
      <x:c r="L143" s="138"/>
      <x:c r="M143" s="138"/>
      <x:c r="N143" s="138"/>
      <x:c r="O143" s="138"/>
      <x:c r="P143" s="138"/>
      <x:c r="Q143" s="138"/>
      <x:c r="R143" s="138"/>
      <x:c r="S143" s="138"/>
      <x:c r="T143" s="138"/>
      <x:c r="U143" s="138"/>
      <x:c r="V143" s="138"/>
      <x:c r="W143" s="138"/>
      <x:c r="X143" s="138"/>
      <x:c r="Y143" s="138"/>
      <x:c r="Z143" s="138"/>
    </x:row>
    <x:row r="144">
      <x:c r="A144" s="138"/>
      <x:c r="B144" s="138"/>
      <x:c r="C144" s="138"/>
      <x:c r="D144" s="138"/>
      <x:c r="E144" s="138"/>
      <x:c r="F144" s="138"/>
      <x:c r="G144" s="138"/>
      <x:c r="H144" s="138"/>
      <x:c r="I144" s="138"/>
      <x:c r="J144" s="138"/>
      <x:c r="K144" s="138"/>
      <x:c r="L144" s="138"/>
      <x:c r="M144" s="138"/>
      <x:c r="N144" s="138"/>
      <x:c r="O144" s="138"/>
      <x:c r="P144" s="138"/>
      <x:c r="Q144" s="138"/>
      <x:c r="R144" s="138"/>
      <x:c r="S144" s="138"/>
      <x:c r="T144" s="138"/>
      <x:c r="U144" s="138"/>
      <x:c r="V144" s="138"/>
      <x:c r="W144" s="138"/>
      <x:c r="X144" s="138"/>
      <x:c r="Y144" s="138"/>
      <x:c r="Z144" s="138"/>
    </x:row>
    <x:row r="145">
      <x:c r="A145" s="138"/>
      <x:c r="B145" s="138"/>
      <x:c r="C145" s="138"/>
      <x:c r="D145" s="138"/>
      <x:c r="E145" s="138"/>
      <x:c r="F145" s="138"/>
      <x:c r="G145" s="138"/>
      <x:c r="H145" s="138"/>
      <x:c r="I145" s="138"/>
      <x:c r="J145" s="138"/>
      <x:c r="K145" s="138"/>
      <x:c r="L145" s="138"/>
      <x:c r="M145" s="138"/>
      <x:c r="N145" s="138"/>
      <x:c r="O145" s="138"/>
      <x:c r="P145" s="138"/>
      <x:c r="Q145" s="138"/>
      <x:c r="R145" s="138"/>
      <x:c r="S145" s="138"/>
      <x:c r="T145" s="138"/>
      <x:c r="U145" s="138"/>
      <x:c r="V145" s="138"/>
      <x:c r="W145" s="138"/>
      <x:c r="X145" s="138"/>
      <x:c r="Y145" s="138"/>
      <x:c r="Z145" s="138"/>
    </x:row>
    <x:row r="146">
      <x:c r="A146" s="138"/>
      <x:c r="B146" s="138"/>
      <x:c r="C146" s="138"/>
      <x:c r="D146" s="138"/>
      <x:c r="E146" s="138"/>
      <x:c r="F146" s="138"/>
      <x:c r="G146" s="138"/>
      <x:c r="H146" s="138"/>
      <x:c r="I146" s="138"/>
      <x:c r="J146" s="138"/>
      <x:c r="K146" s="138"/>
      <x:c r="L146" s="138"/>
      <x:c r="M146" s="138"/>
      <x:c r="N146" s="138"/>
      <x:c r="O146" s="138"/>
      <x:c r="P146" s="138"/>
      <x:c r="Q146" s="138"/>
      <x:c r="R146" s="138"/>
      <x:c r="S146" s="138"/>
      <x:c r="T146" s="138"/>
      <x:c r="U146" s="138"/>
      <x:c r="V146" s="138"/>
      <x:c r="W146" s="138"/>
      <x:c r="X146" s="138"/>
      <x:c r="Y146" s="138"/>
      <x:c r="Z146" s="138"/>
    </x:row>
    <x:row r="147">
      <x:c r="A147" s="138"/>
      <x:c r="B147" s="138"/>
      <x:c r="C147" s="138"/>
      <x:c r="D147" s="138"/>
      <x:c r="E147" s="138"/>
      <x:c r="F147" s="138"/>
      <x:c r="G147" s="138"/>
      <x:c r="H147" s="138"/>
      <x:c r="I147" s="138"/>
      <x:c r="J147" s="138"/>
      <x:c r="K147" s="138"/>
      <x:c r="L147" s="138"/>
      <x:c r="M147" s="138"/>
      <x:c r="N147" s="138"/>
      <x:c r="O147" s="138"/>
      <x:c r="P147" s="138"/>
      <x:c r="Q147" s="138"/>
      <x:c r="R147" s="138"/>
      <x:c r="S147" s="138"/>
      <x:c r="T147" s="138"/>
      <x:c r="U147" s="138"/>
      <x:c r="V147" s="138"/>
      <x:c r="W147" s="138"/>
      <x:c r="X147" s="138"/>
      <x:c r="Y147" s="138"/>
      <x:c r="Z147" s="138"/>
    </x:row>
    <x:row r="148">
      <x:c r="A148" s="138"/>
      <x:c r="B148" s="138"/>
      <x:c r="C148" s="138"/>
      <x:c r="D148" s="138"/>
      <x:c r="E148" s="138"/>
      <x:c r="F148" s="138"/>
      <x:c r="G148" s="138"/>
      <x:c r="H148" s="138"/>
      <x:c r="I148" s="138"/>
      <x:c r="J148" s="138"/>
      <x:c r="K148" s="138"/>
      <x:c r="L148" s="138"/>
      <x:c r="M148" s="138"/>
      <x:c r="N148" s="138"/>
      <x:c r="O148" s="138"/>
      <x:c r="P148" s="138"/>
      <x:c r="Q148" s="138"/>
      <x:c r="R148" s="138"/>
      <x:c r="S148" s="138"/>
      <x:c r="T148" s="138"/>
      <x:c r="U148" s="138"/>
      <x:c r="V148" s="138"/>
      <x:c r="W148" s="138"/>
      <x:c r="X148" s="138"/>
      <x:c r="Y148" s="138"/>
      <x:c r="Z148" s="138"/>
    </x:row>
    <x:row r="149">
      <x:c r="A149" s="138"/>
      <x:c r="B149" s="138"/>
      <x:c r="C149" s="138"/>
      <x:c r="D149" s="138"/>
      <x:c r="E149" s="138"/>
      <x:c r="F149" s="138"/>
      <x:c r="G149" s="138"/>
      <x:c r="H149" s="138"/>
      <x:c r="I149" s="138"/>
      <x:c r="J149" s="138"/>
      <x:c r="K149" s="138"/>
      <x:c r="L149" s="138"/>
      <x:c r="M149" s="138"/>
      <x:c r="N149" s="138"/>
      <x:c r="O149" s="138"/>
      <x:c r="P149" s="138"/>
      <x:c r="Q149" s="138"/>
      <x:c r="R149" s="138"/>
      <x:c r="S149" s="138"/>
      <x:c r="T149" s="138"/>
      <x:c r="U149" s="138"/>
      <x:c r="V149" s="138"/>
      <x:c r="W149" s="138"/>
      <x:c r="X149" s="138"/>
      <x:c r="Y149" s="138"/>
      <x:c r="Z149" s="138"/>
    </x:row>
    <x:row r="150">
      <x:c r="A150" s="138"/>
      <x:c r="B150" s="138"/>
      <x:c r="C150" s="138"/>
      <x:c r="D150" s="138"/>
      <x:c r="E150" s="138"/>
      <x:c r="F150" s="138"/>
      <x:c r="G150" s="138"/>
      <x:c r="H150" s="138"/>
      <x:c r="I150" s="138"/>
      <x:c r="J150" s="138"/>
      <x:c r="K150" s="138"/>
      <x:c r="L150" s="138"/>
      <x:c r="M150" s="138"/>
      <x:c r="N150" s="138"/>
      <x:c r="O150" s="138"/>
      <x:c r="P150" s="138"/>
      <x:c r="Q150" s="138"/>
      <x:c r="R150" s="138"/>
      <x:c r="S150" s="138"/>
      <x:c r="T150" s="138"/>
      <x:c r="U150" s="138"/>
      <x:c r="V150" s="138"/>
      <x:c r="W150" s="138"/>
      <x:c r="X150" s="138"/>
      <x:c r="Y150" s="138"/>
      <x:c r="Z150" s="138"/>
    </x:row>
    <x:row r="151">
      <x:c r="A151" s="138"/>
      <x:c r="B151" s="138"/>
      <x:c r="C151" s="138"/>
      <x:c r="D151" s="138"/>
      <x:c r="E151" s="138"/>
      <x:c r="F151" s="138"/>
      <x:c r="G151" s="138"/>
      <x:c r="H151" s="138"/>
      <x:c r="I151" s="138"/>
      <x:c r="J151" s="138"/>
      <x:c r="K151" s="138"/>
      <x:c r="L151" s="138"/>
      <x:c r="M151" s="138"/>
      <x:c r="N151" s="138"/>
      <x:c r="O151" s="138"/>
      <x:c r="P151" s="138"/>
      <x:c r="Q151" s="138"/>
      <x:c r="R151" s="138"/>
      <x:c r="S151" s="138"/>
      <x:c r="T151" s="138"/>
      <x:c r="U151" s="138"/>
      <x:c r="V151" s="138"/>
      <x:c r="W151" s="138"/>
      <x:c r="X151" s="138"/>
      <x:c r="Y151" s="138"/>
      <x:c r="Z151" s="138"/>
    </x:row>
    <x:row r="152">
      <x:c r="A152" s="138"/>
      <x:c r="B152" s="138"/>
      <x:c r="C152" s="138"/>
      <x:c r="D152" s="138"/>
      <x:c r="E152" s="138"/>
      <x:c r="F152" s="138"/>
      <x:c r="G152" s="138"/>
      <x:c r="H152" s="138"/>
      <x:c r="I152" s="138"/>
      <x:c r="J152" s="138"/>
      <x:c r="K152" s="138"/>
      <x:c r="L152" s="138"/>
      <x:c r="M152" s="138"/>
      <x:c r="N152" s="138"/>
      <x:c r="O152" s="138"/>
      <x:c r="P152" s="138"/>
      <x:c r="Q152" s="138"/>
      <x:c r="R152" s="138"/>
      <x:c r="S152" s="138"/>
      <x:c r="T152" s="138"/>
      <x:c r="U152" s="138"/>
      <x:c r="V152" s="138"/>
      <x:c r="W152" s="138"/>
      <x:c r="X152" s="138"/>
      <x:c r="Y152" s="138"/>
      <x:c r="Z152" s="138"/>
    </x:row>
    <x:row r="153">
      <x:c r="A153" s="138"/>
      <x:c r="B153" s="138"/>
      <x:c r="C153" s="138"/>
      <x:c r="D153" s="138"/>
      <x:c r="E153" s="138"/>
      <x:c r="F153" s="138"/>
      <x:c r="G153" s="138"/>
      <x:c r="H153" s="138"/>
      <x:c r="I153" s="138"/>
      <x:c r="J153" s="138"/>
      <x:c r="K153" s="138"/>
      <x:c r="L153" s="138"/>
      <x:c r="M153" s="138"/>
      <x:c r="N153" s="138"/>
      <x:c r="O153" s="138"/>
      <x:c r="P153" s="138"/>
      <x:c r="Q153" s="138"/>
      <x:c r="R153" s="138"/>
      <x:c r="S153" s="138"/>
      <x:c r="T153" s="138"/>
      <x:c r="U153" s="138"/>
      <x:c r="V153" s="138"/>
      <x:c r="W153" s="138"/>
      <x:c r="X153" s="138"/>
      <x:c r="Y153" s="138"/>
      <x:c r="Z153" s="138"/>
    </x:row>
    <x:row r="154">
      <x:c r="A154" s="138"/>
      <x:c r="B154" s="138"/>
      <x:c r="C154" s="138"/>
      <x:c r="D154" s="138"/>
      <x:c r="E154" s="138"/>
      <x:c r="F154" s="138"/>
      <x:c r="G154" s="138"/>
      <x:c r="H154" s="138"/>
      <x:c r="I154" s="138"/>
      <x:c r="J154" s="138"/>
      <x:c r="K154" s="138"/>
      <x:c r="L154" s="138"/>
      <x:c r="M154" s="138"/>
      <x:c r="N154" s="138"/>
      <x:c r="O154" s="138"/>
      <x:c r="P154" s="138"/>
      <x:c r="Q154" s="138"/>
      <x:c r="R154" s="138"/>
      <x:c r="S154" s="138"/>
      <x:c r="T154" s="138"/>
      <x:c r="U154" s="138"/>
      <x:c r="V154" s="138"/>
      <x:c r="W154" s="138"/>
      <x:c r="X154" s="138"/>
      <x:c r="Y154" s="138"/>
      <x:c r="Z154" s="138"/>
    </x:row>
    <x:row r="155">
      <x:c r="A155" s="138"/>
      <x:c r="B155" s="138"/>
      <x:c r="C155" s="138"/>
      <x:c r="D155" s="138"/>
      <x:c r="E155" s="138"/>
      <x:c r="F155" s="138"/>
      <x:c r="G155" s="138"/>
      <x:c r="H155" s="138"/>
      <x:c r="I155" s="138"/>
      <x:c r="J155" s="138"/>
      <x:c r="K155" s="138"/>
      <x:c r="L155" s="138"/>
      <x:c r="M155" s="138"/>
      <x:c r="N155" s="138"/>
      <x:c r="O155" s="138"/>
      <x:c r="P155" s="138"/>
      <x:c r="Q155" s="138"/>
      <x:c r="R155" s="138"/>
      <x:c r="S155" s="138"/>
      <x:c r="T155" s="138"/>
      <x:c r="U155" s="138"/>
      <x:c r="V155" s="138"/>
      <x:c r="W155" s="138"/>
      <x:c r="X155" s="138"/>
      <x:c r="Y155" s="138"/>
      <x:c r="Z155" s="138"/>
    </x:row>
    <x:row r="156">
      <x:c r="A156" s="138"/>
      <x:c r="B156" s="138"/>
      <x:c r="C156" s="138"/>
      <x:c r="D156" s="138"/>
      <x:c r="E156" s="138"/>
      <x:c r="F156" s="138"/>
      <x:c r="G156" s="138"/>
      <x:c r="H156" s="138"/>
      <x:c r="I156" s="138"/>
      <x:c r="J156" s="138"/>
      <x:c r="K156" s="138"/>
      <x:c r="L156" s="138"/>
      <x:c r="M156" s="138"/>
      <x:c r="N156" s="138"/>
      <x:c r="O156" s="138"/>
      <x:c r="P156" s="138"/>
      <x:c r="Q156" s="138"/>
      <x:c r="R156" s="138"/>
      <x:c r="S156" s="138"/>
      <x:c r="T156" s="138"/>
      <x:c r="U156" s="138"/>
      <x:c r="V156" s="138"/>
      <x:c r="W156" s="138"/>
      <x:c r="X156" s="138"/>
      <x:c r="Y156" s="138"/>
      <x:c r="Z156" s="138"/>
    </x:row>
    <x:row r="157">
      <x:c r="A157" s="138"/>
      <x:c r="B157" s="138"/>
      <x:c r="C157" s="138"/>
      <x:c r="D157" s="138"/>
      <x:c r="E157" s="138"/>
      <x:c r="F157" s="138"/>
      <x:c r="G157" s="138"/>
      <x:c r="H157" s="138"/>
      <x:c r="I157" s="138"/>
      <x:c r="J157" s="138"/>
      <x:c r="K157" s="138"/>
      <x:c r="L157" s="138"/>
      <x:c r="M157" s="138"/>
      <x:c r="N157" s="138"/>
      <x:c r="O157" s="138"/>
      <x:c r="P157" s="138"/>
      <x:c r="Q157" s="138"/>
      <x:c r="R157" s="138"/>
      <x:c r="S157" s="138"/>
      <x:c r="T157" s="138"/>
      <x:c r="U157" s="138"/>
      <x:c r="V157" s="138"/>
      <x:c r="W157" s="138"/>
      <x:c r="X157" s="138"/>
      <x:c r="Y157" s="138"/>
      <x:c r="Z157" s="138"/>
    </x:row>
    <x:row r="158">
      <x:c r="A158" s="138"/>
      <x:c r="B158" s="138"/>
      <x:c r="C158" s="138"/>
      <x:c r="D158" s="138"/>
      <x:c r="E158" s="138"/>
      <x:c r="F158" s="138"/>
      <x:c r="G158" s="138"/>
      <x:c r="H158" s="138"/>
      <x:c r="I158" s="138"/>
      <x:c r="J158" s="138"/>
      <x:c r="K158" s="138"/>
      <x:c r="L158" s="138"/>
      <x:c r="M158" s="138"/>
      <x:c r="N158" s="138"/>
      <x:c r="O158" s="138"/>
      <x:c r="P158" s="138"/>
      <x:c r="Q158" s="138"/>
      <x:c r="R158" s="138"/>
      <x:c r="S158" s="138"/>
      <x:c r="T158" s="138"/>
      <x:c r="U158" s="138"/>
      <x:c r="V158" s="138"/>
      <x:c r="W158" s="138"/>
      <x:c r="X158" s="138"/>
      <x:c r="Y158" s="138"/>
      <x:c r="Z158" s="138"/>
    </x:row>
    <x:row r="159">
      <x:c r="A159" s="138"/>
      <x:c r="B159" s="138"/>
      <x:c r="C159" s="138"/>
      <x:c r="D159" s="138"/>
      <x:c r="E159" s="138"/>
      <x:c r="F159" s="138"/>
      <x:c r="G159" s="138"/>
      <x:c r="H159" s="138"/>
      <x:c r="I159" s="138"/>
      <x:c r="J159" s="138"/>
      <x:c r="K159" s="138"/>
      <x:c r="L159" s="138"/>
      <x:c r="M159" s="138"/>
      <x:c r="N159" s="138"/>
      <x:c r="O159" s="138"/>
      <x:c r="P159" s="138"/>
      <x:c r="Q159" s="138"/>
      <x:c r="R159" s="138"/>
      <x:c r="S159" s="138"/>
      <x:c r="T159" s="138"/>
      <x:c r="U159" s="138"/>
      <x:c r="V159" s="138"/>
      <x:c r="W159" s="138"/>
      <x:c r="X159" s="138"/>
      <x:c r="Y159" s="138"/>
      <x:c r="Z159" s="138"/>
    </x:row>
    <x:row r="160">
      <x:c r="A160" s="138"/>
      <x:c r="B160" s="138"/>
      <x:c r="C160" s="138"/>
      <x:c r="D160" s="138"/>
      <x:c r="E160" s="138"/>
      <x:c r="F160" s="138"/>
      <x:c r="G160" s="138"/>
      <x:c r="H160" s="138"/>
      <x:c r="I160" s="138"/>
      <x:c r="J160" s="138"/>
      <x:c r="K160" s="138"/>
      <x:c r="L160" s="138"/>
      <x:c r="M160" s="138"/>
      <x:c r="N160" s="138"/>
      <x:c r="O160" s="138"/>
      <x:c r="P160" s="138"/>
      <x:c r="Q160" s="138"/>
      <x:c r="R160" s="138"/>
      <x:c r="S160" s="138"/>
      <x:c r="T160" s="138"/>
      <x:c r="U160" s="138"/>
      <x:c r="V160" s="138"/>
      <x:c r="W160" s="138"/>
      <x:c r="X160" s="138"/>
      <x:c r="Y160" s="138"/>
      <x:c r="Z160" s="138"/>
    </x:row>
    <x:row r="161">
      <x:c r="A161" s="138"/>
      <x:c r="B161" s="138"/>
      <x:c r="C161" s="138"/>
      <x:c r="D161" s="138"/>
      <x:c r="E161" s="138"/>
      <x:c r="F161" s="138"/>
      <x:c r="G161" s="138"/>
      <x:c r="H161" s="138"/>
      <x:c r="I161" s="138"/>
      <x:c r="J161" s="138"/>
      <x:c r="K161" s="138"/>
      <x:c r="L161" s="138"/>
      <x:c r="M161" s="138"/>
      <x:c r="N161" s="138"/>
      <x:c r="O161" s="138"/>
      <x:c r="P161" s="138"/>
      <x:c r="Q161" s="138"/>
      <x:c r="R161" s="138"/>
      <x:c r="S161" s="138"/>
      <x:c r="T161" s="138"/>
      <x:c r="U161" s="138"/>
      <x:c r="V161" s="138"/>
      <x:c r="W161" s="138"/>
      <x:c r="X161" s="138"/>
      <x:c r="Y161" s="138"/>
      <x:c r="Z161" s="138"/>
    </x:row>
    <x:row r="162">
      <x:c r="A162" s="138"/>
      <x:c r="B162" s="138"/>
      <x:c r="C162" s="138"/>
      <x:c r="D162" s="138"/>
      <x:c r="E162" s="138"/>
      <x:c r="F162" s="138"/>
      <x:c r="G162" s="138"/>
      <x:c r="H162" s="138"/>
      <x:c r="I162" s="138"/>
      <x:c r="J162" s="138"/>
      <x:c r="K162" s="138"/>
      <x:c r="L162" s="138"/>
      <x:c r="M162" s="138"/>
      <x:c r="N162" s="138"/>
      <x:c r="O162" s="138"/>
      <x:c r="P162" s="138"/>
      <x:c r="Q162" s="138"/>
      <x:c r="R162" s="138"/>
      <x:c r="S162" s="138"/>
      <x:c r="T162" s="138"/>
      <x:c r="U162" s="138"/>
      <x:c r="V162" s="138"/>
      <x:c r="W162" s="138"/>
      <x:c r="X162" s="138"/>
      <x:c r="Y162" s="138"/>
      <x:c r="Z162" s="138"/>
    </x:row>
    <x:row r="163">
      <x:c r="A163" s="138"/>
      <x:c r="B163" s="138"/>
      <x:c r="C163" s="138"/>
      <x:c r="D163" s="138"/>
      <x:c r="E163" s="138"/>
      <x:c r="F163" s="138"/>
      <x:c r="G163" s="138"/>
      <x:c r="H163" s="138"/>
      <x:c r="I163" s="138"/>
      <x:c r="J163" s="138"/>
      <x:c r="K163" s="138"/>
      <x:c r="L163" s="138"/>
      <x:c r="M163" s="138"/>
      <x:c r="N163" s="138"/>
      <x:c r="O163" s="138"/>
      <x:c r="P163" s="138"/>
      <x:c r="Q163" s="138"/>
      <x:c r="R163" s="138"/>
      <x:c r="S163" s="138"/>
      <x:c r="T163" s="138"/>
      <x:c r="U163" s="138"/>
      <x:c r="V163" s="138"/>
      <x:c r="W163" s="138"/>
      <x:c r="X163" s="138"/>
      <x:c r="Y163" s="138"/>
      <x:c r="Z163" s="138"/>
    </x:row>
    <x:row r="164">
      <x:c r="A164" s="138"/>
      <x:c r="B164" s="138"/>
      <x:c r="C164" s="138"/>
      <x:c r="D164" s="138"/>
      <x:c r="E164" s="138"/>
      <x:c r="F164" s="138"/>
      <x:c r="G164" s="138"/>
      <x:c r="H164" s="138"/>
      <x:c r="I164" s="138"/>
      <x:c r="J164" s="138"/>
      <x:c r="K164" s="138"/>
      <x:c r="L164" s="138"/>
      <x:c r="M164" s="138"/>
      <x:c r="N164" s="138"/>
      <x:c r="O164" s="138"/>
      <x:c r="P164" s="138"/>
      <x:c r="Q164" s="138"/>
      <x:c r="R164" s="138"/>
      <x:c r="S164" s="138"/>
      <x:c r="T164" s="138"/>
      <x:c r="U164" s="138"/>
      <x:c r="V164" s="138"/>
      <x:c r="W164" s="138"/>
      <x:c r="X164" s="138"/>
      <x:c r="Y164" s="138"/>
      <x:c r="Z164" s="138"/>
    </x:row>
    <x:row r="165">
      <x:c r="A165" s="138"/>
      <x:c r="B165" s="138"/>
      <x:c r="C165" s="138"/>
      <x:c r="D165" s="138"/>
      <x:c r="E165" s="138"/>
      <x:c r="F165" s="138"/>
      <x:c r="G165" s="138"/>
      <x:c r="H165" s="138"/>
      <x:c r="I165" s="138"/>
      <x:c r="J165" s="138"/>
      <x:c r="K165" s="138"/>
      <x:c r="L165" s="138"/>
      <x:c r="M165" s="138"/>
      <x:c r="N165" s="138"/>
      <x:c r="O165" s="138"/>
      <x:c r="P165" s="138"/>
      <x:c r="Q165" s="138"/>
      <x:c r="R165" s="138"/>
      <x:c r="S165" s="138"/>
      <x:c r="T165" s="138"/>
      <x:c r="U165" s="138"/>
      <x:c r="V165" s="138"/>
      <x:c r="W165" s="138"/>
      <x:c r="X165" s="138"/>
      <x:c r="Y165" s="138"/>
      <x:c r="Z165" s="138"/>
    </x:row>
    <x:row r="166">
      <x:c r="A166" s="138"/>
      <x:c r="B166" s="138"/>
      <x:c r="C166" s="138"/>
      <x:c r="D166" s="138"/>
      <x:c r="E166" s="138"/>
      <x:c r="F166" s="138"/>
      <x:c r="G166" s="138"/>
      <x:c r="H166" s="138"/>
      <x:c r="I166" s="138"/>
      <x:c r="J166" s="138"/>
      <x:c r="K166" s="138"/>
      <x:c r="L166" s="138"/>
      <x:c r="M166" s="138"/>
      <x:c r="N166" s="138"/>
      <x:c r="O166" s="138"/>
      <x:c r="P166" s="138"/>
      <x:c r="Q166" s="138"/>
      <x:c r="R166" s="138"/>
      <x:c r="S166" s="138"/>
      <x:c r="T166" s="138"/>
      <x:c r="U166" s="138"/>
      <x:c r="V166" s="138"/>
      <x:c r="W166" s="138"/>
      <x:c r="X166" s="138"/>
      <x:c r="Y166" s="138"/>
      <x:c r="Z166" s="138"/>
    </x:row>
    <x:row r="167">
      <x:c r="A167" s="138"/>
      <x:c r="B167" s="138"/>
      <x:c r="C167" s="138"/>
      <x:c r="D167" s="138"/>
      <x:c r="E167" s="138"/>
      <x:c r="F167" s="138"/>
      <x:c r="G167" s="138"/>
      <x:c r="H167" s="138"/>
      <x:c r="I167" s="138"/>
      <x:c r="J167" s="138"/>
      <x:c r="K167" s="138"/>
      <x:c r="L167" s="138"/>
      <x:c r="M167" s="138"/>
      <x:c r="N167" s="138"/>
      <x:c r="O167" s="138"/>
      <x:c r="P167" s="138"/>
      <x:c r="Q167" s="138"/>
      <x:c r="R167" s="138"/>
      <x:c r="S167" s="138"/>
      <x:c r="T167" s="138"/>
      <x:c r="U167" s="138"/>
      <x:c r="V167" s="138"/>
      <x:c r="W167" s="138"/>
      <x:c r="X167" s="138"/>
      <x:c r="Y167" s="138"/>
      <x:c r="Z167" s="138"/>
    </x:row>
    <x:row r="168">
      <x:c r="A168" s="138"/>
      <x:c r="B168" s="138"/>
      <x:c r="C168" s="138"/>
      <x:c r="D168" s="138"/>
      <x:c r="E168" s="138"/>
      <x:c r="F168" s="138"/>
      <x:c r="G168" s="138"/>
      <x:c r="H168" s="138"/>
      <x:c r="I168" s="138"/>
      <x:c r="J168" s="138"/>
      <x:c r="K168" s="138"/>
      <x:c r="L168" s="138"/>
      <x:c r="M168" s="138"/>
      <x:c r="N168" s="138"/>
      <x:c r="O168" s="138"/>
      <x:c r="P168" s="138"/>
      <x:c r="Q168" s="138"/>
      <x:c r="R168" s="138"/>
      <x:c r="S168" s="138"/>
      <x:c r="T168" s="138"/>
      <x:c r="U168" s="138"/>
      <x:c r="V168" s="138"/>
      <x:c r="W168" s="138"/>
      <x:c r="X168" s="138"/>
      <x:c r="Y168" s="138"/>
      <x:c r="Z168" s="138"/>
    </x:row>
    <x:row r="169">
      <x:c r="A169" s="138"/>
      <x:c r="B169" s="138"/>
      <x:c r="C169" s="138"/>
      <x:c r="D169" s="138"/>
      <x:c r="E169" s="138"/>
      <x:c r="F169" s="138"/>
      <x:c r="G169" s="138"/>
      <x:c r="H169" s="138"/>
      <x:c r="I169" s="138"/>
      <x:c r="J169" s="138"/>
      <x:c r="K169" s="138"/>
      <x:c r="L169" s="138"/>
      <x:c r="M169" s="138"/>
      <x:c r="N169" s="138"/>
      <x:c r="O169" s="138"/>
      <x:c r="P169" s="138"/>
      <x:c r="Q169" s="138"/>
      <x:c r="R169" s="138"/>
      <x:c r="S169" s="138"/>
      <x:c r="T169" s="138"/>
      <x:c r="U169" s="138"/>
      <x:c r="V169" s="138"/>
      <x:c r="W169" s="138"/>
      <x:c r="X169" s="138"/>
      <x:c r="Y169" s="138"/>
      <x:c r="Z169" s="138"/>
    </x:row>
    <x:row r="170">
      <x:c r="A170" s="138"/>
      <x:c r="B170" s="138"/>
      <x:c r="C170" s="138"/>
      <x:c r="D170" s="138"/>
      <x:c r="E170" s="138"/>
      <x:c r="F170" s="138"/>
      <x:c r="G170" s="138"/>
      <x:c r="H170" s="138"/>
      <x:c r="I170" s="138"/>
      <x:c r="J170" s="138"/>
      <x:c r="K170" s="138"/>
      <x:c r="L170" s="138"/>
      <x:c r="M170" s="138"/>
      <x:c r="N170" s="138"/>
      <x:c r="O170" s="138"/>
      <x:c r="P170" s="138"/>
      <x:c r="Q170" s="138"/>
      <x:c r="R170" s="138"/>
      <x:c r="S170" s="138"/>
      <x:c r="T170" s="138"/>
      <x:c r="U170" s="138"/>
      <x:c r="V170" s="138"/>
      <x:c r="W170" s="138"/>
      <x:c r="X170" s="138"/>
      <x:c r="Y170" s="138"/>
      <x:c r="Z170" s="138"/>
    </x:row>
    <x:row r="171">
      <x:c r="A171" s="138"/>
      <x:c r="B171" s="138"/>
      <x:c r="C171" s="138"/>
      <x:c r="D171" s="138"/>
      <x:c r="E171" s="138"/>
      <x:c r="F171" s="138"/>
      <x:c r="G171" s="138"/>
      <x:c r="H171" s="138"/>
      <x:c r="I171" s="138"/>
      <x:c r="J171" s="138"/>
      <x:c r="K171" s="138"/>
      <x:c r="L171" s="138"/>
      <x:c r="M171" s="138"/>
      <x:c r="N171" s="138"/>
      <x:c r="O171" s="138"/>
      <x:c r="P171" s="138"/>
      <x:c r="Q171" s="138"/>
      <x:c r="R171" s="138"/>
      <x:c r="S171" s="138"/>
      <x:c r="T171" s="138"/>
      <x:c r="U171" s="138"/>
      <x:c r="V171" s="138"/>
      <x:c r="W171" s="138"/>
      <x:c r="X171" s="138"/>
      <x:c r="Y171" s="138"/>
      <x:c r="Z171" s="138"/>
    </x:row>
    <x:row r="172">
      <x:c r="A172" s="138"/>
      <x:c r="B172" s="138"/>
      <x:c r="C172" s="138"/>
      <x:c r="D172" s="138"/>
      <x:c r="E172" s="138"/>
      <x:c r="F172" s="138"/>
      <x:c r="G172" s="138"/>
      <x:c r="H172" s="138"/>
      <x:c r="I172" s="138"/>
      <x:c r="J172" s="138"/>
      <x:c r="K172" s="138"/>
      <x:c r="L172" s="138"/>
      <x:c r="M172" s="138"/>
      <x:c r="N172" s="138"/>
      <x:c r="O172" s="138"/>
      <x:c r="P172" s="138"/>
      <x:c r="Q172" s="138"/>
      <x:c r="R172" s="138"/>
      <x:c r="S172" s="138"/>
      <x:c r="T172" s="138"/>
      <x:c r="U172" s="138"/>
      <x:c r="V172" s="138"/>
      <x:c r="W172" s="138"/>
      <x:c r="X172" s="138"/>
      <x:c r="Y172" s="138"/>
      <x:c r="Z172" s="138"/>
    </x:row>
    <x:row r="173">
      <x:c r="A173" s="138"/>
      <x:c r="B173" s="138"/>
      <x:c r="C173" s="138"/>
      <x:c r="D173" s="138"/>
      <x:c r="E173" s="138"/>
      <x:c r="F173" s="138"/>
      <x:c r="G173" s="138"/>
      <x:c r="H173" s="138"/>
      <x:c r="I173" s="138"/>
      <x:c r="J173" s="138"/>
      <x:c r="K173" s="138"/>
      <x:c r="L173" s="138"/>
      <x:c r="M173" s="138"/>
      <x:c r="N173" s="138"/>
      <x:c r="O173" s="138"/>
      <x:c r="P173" s="138"/>
      <x:c r="Q173" s="138"/>
      <x:c r="R173" s="138"/>
      <x:c r="S173" s="138"/>
      <x:c r="T173" s="138"/>
      <x:c r="U173" s="138"/>
      <x:c r="V173" s="138"/>
      <x:c r="W173" s="138"/>
      <x:c r="X173" s="138"/>
      <x:c r="Y173" s="138"/>
      <x:c r="Z173" s="138"/>
    </x:row>
    <x:row r="174">
      <x:c r="A174" s="138"/>
      <x:c r="B174" s="138"/>
      <x:c r="C174" s="138"/>
      <x:c r="D174" s="138"/>
      <x:c r="E174" s="138"/>
      <x:c r="F174" s="138"/>
      <x:c r="G174" s="138"/>
      <x:c r="H174" s="138"/>
      <x:c r="I174" s="138"/>
      <x:c r="J174" s="138"/>
      <x:c r="K174" s="138"/>
      <x:c r="L174" s="138"/>
      <x:c r="M174" s="138"/>
      <x:c r="N174" s="138"/>
      <x:c r="O174" s="138"/>
      <x:c r="P174" s="138"/>
      <x:c r="Q174" s="138"/>
      <x:c r="R174" s="138"/>
      <x:c r="S174" s="138"/>
      <x:c r="T174" s="138"/>
      <x:c r="U174" s="138"/>
      <x:c r="V174" s="138"/>
      <x:c r="W174" s="138"/>
      <x:c r="X174" s="138"/>
      <x:c r="Y174" s="138"/>
      <x:c r="Z174" s="138"/>
    </x:row>
    <x:row r="175">
      <x:c r="A175" s="138"/>
      <x:c r="B175" s="138"/>
      <x:c r="C175" s="138"/>
      <x:c r="D175" s="138"/>
      <x:c r="E175" s="138"/>
      <x:c r="F175" s="138"/>
      <x:c r="G175" s="138"/>
      <x:c r="H175" s="138"/>
      <x:c r="I175" s="138"/>
      <x:c r="J175" s="138"/>
      <x:c r="K175" s="138"/>
      <x:c r="L175" s="138"/>
      <x:c r="M175" s="138"/>
      <x:c r="N175" s="138"/>
      <x:c r="O175" s="138"/>
      <x:c r="P175" s="138"/>
      <x:c r="Q175" s="138"/>
      <x:c r="R175" s="138"/>
      <x:c r="S175" s="138"/>
      <x:c r="T175" s="138"/>
      <x:c r="U175" s="138"/>
      <x:c r="V175" s="138"/>
      <x:c r="W175" s="138"/>
      <x:c r="X175" s="138"/>
      <x:c r="Y175" s="138"/>
      <x:c r="Z175" s="138"/>
    </x:row>
    <x:row r="176">
      <x:c r="A176" s="138"/>
      <x:c r="B176" s="138"/>
      <x:c r="C176" s="138"/>
      <x:c r="D176" s="138"/>
      <x:c r="E176" s="138"/>
      <x:c r="F176" s="138"/>
      <x:c r="G176" s="138"/>
      <x:c r="H176" s="138"/>
      <x:c r="I176" s="138"/>
      <x:c r="J176" s="138"/>
      <x:c r="K176" s="138"/>
      <x:c r="L176" s="138"/>
      <x:c r="M176" s="138"/>
      <x:c r="N176" s="138"/>
      <x:c r="O176" s="138"/>
      <x:c r="P176" s="138"/>
      <x:c r="Q176" s="138"/>
      <x:c r="R176" s="138"/>
      <x:c r="S176" s="138"/>
      <x:c r="T176" s="138"/>
      <x:c r="U176" s="138"/>
      <x:c r="V176" s="138"/>
      <x:c r="W176" s="138"/>
      <x:c r="X176" s="138"/>
      <x:c r="Y176" s="138"/>
      <x:c r="Z176" s="138"/>
    </x:row>
    <x:row r="177">
      <x:c r="A177" s="138"/>
      <x:c r="B177" s="138"/>
      <x:c r="C177" s="138"/>
      <x:c r="D177" s="138"/>
      <x:c r="E177" s="138"/>
      <x:c r="F177" s="138"/>
      <x:c r="G177" s="138"/>
      <x:c r="H177" s="138"/>
      <x:c r="I177" s="138"/>
      <x:c r="J177" s="138"/>
      <x:c r="K177" s="138"/>
      <x:c r="L177" s="138"/>
      <x:c r="M177" s="138"/>
      <x:c r="N177" s="138"/>
      <x:c r="O177" s="138"/>
      <x:c r="P177" s="138"/>
      <x:c r="Q177" s="138"/>
      <x:c r="R177" s="138"/>
      <x:c r="S177" s="138"/>
      <x:c r="T177" s="138"/>
      <x:c r="U177" s="138"/>
      <x:c r="V177" s="138"/>
      <x:c r="W177" s="138"/>
      <x:c r="X177" s="138"/>
      <x:c r="Y177" s="138"/>
      <x:c r="Z177" s="138"/>
    </x:row>
    <x:row r="178">
      <x:c r="A178" s="138"/>
      <x:c r="B178" s="138"/>
      <x:c r="C178" s="138"/>
      <x:c r="D178" s="138"/>
      <x:c r="E178" s="138"/>
      <x:c r="F178" s="138"/>
      <x:c r="G178" s="138"/>
      <x:c r="H178" s="138"/>
      <x:c r="I178" s="138"/>
      <x:c r="J178" s="138"/>
      <x:c r="K178" s="138"/>
      <x:c r="L178" s="138"/>
      <x:c r="M178" s="138"/>
      <x:c r="N178" s="138"/>
      <x:c r="O178" s="138"/>
      <x:c r="P178" s="138"/>
      <x:c r="Q178" s="138"/>
      <x:c r="R178" s="138"/>
      <x:c r="S178" s="138"/>
      <x:c r="T178" s="138"/>
      <x:c r="U178" s="138"/>
      <x:c r="V178" s="138"/>
      <x:c r="W178" s="138"/>
      <x:c r="X178" s="138"/>
      <x:c r="Y178" s="138"/>
      <x:c r="Z178" s="138"/>
    </x:row>
    <x:row r="179">
      <x:c r="A179" s="138"/>
      <x:c r="B179" s="138"/>
      <x:c r="C179" s="138"/>
      <x:c r="D179" s="138"/>
      <x:c r="E179" s="138"/>
      <x:c r="F179" s="138"/>
      <x:c r="G179" s="138"/>
      <x:c r="H179" s="138"/>
      <x:c r="I179" s="138"/>
      <x:c r="J179" s="138"/>
      <x:c r="K179" s="138"/>
      <x:c r="L179" s="138"/>
      <x:c r="M179" s="138"/>
      <x:c r="N179" s="138"/>
      <x:c r="O179" s="138"/>
      <x:c r="P179" s="138"/>
      <x:c r="Q179" s="138"/>
      <x:c r="R179" s="138"/>
      <x:c r="S179" s="138"/>
      <x:c r="T179" s="138"/>
      <x:c r="U179" s="138"/>
      <x:c r="V179" s="138"/>
      <x:c r="W179" s="138"/>
      <x:c r="X179" s="138"/>
      <x:c r="Y179" s="138"/>
      <x:c r="Z179" s="138"/>
    </x:row>
    <x:row r="180">
      <x:c r="A180" s="138"/>
      <x:c r="B180" s="138"/>
      <x:c r="C180" s="138"/>
      <x:c r="D180" s="138"/>
      <x:c r="E180" s="138"/>
      <x:c r="F180" s="138"/>
      <x:c r="G180" s="138"/>
      <x:c r="H180" s="138"/>
      <x:c r="I180" s="138"/>
      <x:c r="J180" s="138"/>
      <x:c r="K180" s="138"/>
      <x:c r="L180" s="138"/>
      <x:c r="M180" s="138"/>
      <x:c r="N180" s="138"/>
      <x:c r="O180" s="138"/>
      <x:c r="P180" s="138"/>
      <x:c r="Q180" s="138"/>
      <x:c r="R180" s="138"/>
      <x:c r="S180" s="138"/>
      <x:c r="T180" s="138"/>
      <x:c r="U180" s="138"/>
      <x:c r="V180" s="138"/>
      <x:c r="W180" s="138"/>
      <x:c r="X180" s="138"/>
      <x:c r="Y180" s="138"/>
      <x:c r="Z180" s="138"/>
    </x:row>
    <x:row r="181">
      <x:c r="A181" s="138"/>
      <x:c r="B181" s="138"/>
      <x:c r="C181" s="138"/>
      <x:c r="D181" s="138"/>
      <x:c r="E181" s="138"/>
      <x:c r="F181" s="138"/>
      <x:c r="G181" s="138"/>
      <x:c r="H181" s="138"/>
      <x:c r="I181" s="138"/>
      <x:c r="J181" s="138"/>
      <x:c r="K181" s="138"/>
      <x:c r="L181" s="138"/>
      <x:c r="M181" s="138"/>
      <x:c r="N181" s="138"/>
      <x:c r="O181" s="138"/>
      <x:c r="P181" s="138"/>
      <x:c r="Q181" s="138"/>
      <x:c r="R181" s="138"/>
      <x:c r="S181" s="138"/>
      <x:c r="T181" s="138"/>
      <x:c r="U181" s="138"/>
      <x:c r="V181" s="138"/>
      <x:c r="W181" s="138"/>
      <x:c r="X181" s="138"/>
      <x:c r="Y181" s="138"/>
      <x:c r="Z181" s="138"/>
    </x:row>
    <x:row r="182">
      <x:c r="A182" s="138"/>
      <x:c r="B182" s="138"/>
      <x:c r="C182" s="138"/>
      <x:c r="D182" s="138"/>
      <x:c r="E182" s="138"/>
      <x:c r="F182" s="138"/>
      <x:c r="G182" s="138"/>
      <x:c r="H182" s="138"/>
      <x:c r="I182" s="138"/>
      <x:c r="J182" s="138"/>
      <x:c r="K182" s="138"/>
      <x:c r="L182" s="138"/>
      <x:c r="M182" s="138"/>
      <x:c r="N182" s="138"/>
      <x:c r="O182" s="138"/>
      <x:c r="P182" s="138"/>
      <x:c r="Q182" s="138"/>
      <x:c r="R182" s="138"/>
      <x:c r="S182" s="138"/>
      <x:c r="T182" s="138"/>
      <x:c r="U182" s="138"/>
      <x:c r="V182" s="138"/>
      <x:c r="W182" s="138"/>
      <x:c r="X182" s="138"/>
      <x:c r="Y182" s="138"/>
      <x:c r="Z182" s="138"/>
    </x:row>
    <x:row r="183">
      <x:c r="A183" s="138"/>
      <x:c r="B183" s="138"/>
      <x:c r="C183" s="138"/>
      <x:c r="D183" s="138"/>
      <x:c r="E183" s="138"/>
      <x:c r="F183" s="138"/>
      <x:c r="G183" s="138"/>
      <x:c r="H183" s="138"/>
      <x:c r="I183" s="138"/>
      <x:c r="J183" s="138"/>
      <x:c r="K183" s="138"/>
      <x:c r="L183" s="138"/>
      <x:c r="M183" s="138"/>
      <x:c r="N183" s="138"/>
      <x:c r="O183" s="138"/>
      <x:c r="P183" s="138"/>
      <x:c r="Q183" s="138"/>
      <x:c r="R183" s="138"/>
      <x:c r="S183" s="138"/>
      <x:c r="T183" s="138"/>
      <x:c r="U183" s="138"/>
      <x:c r="V183" s="138"/>
      <x:c r="W183" s="138"/>
      <x:c r="X183" s="138"/>
      <x:c r="Y183" s="138"/>
      <x:c r="Z183" s="138"/>
    </x:row>
    <x:row r="184">
      <x:c r="A184" s="138"/>
      <x:c r="B184" s="138"/>
      <x:c r="C184" s="138"/>
      <x:c r="D184" s="138"/>
      <x:c r="E184" s="138"/>
      <x:c r="F184" s="138"/>
      <x:c r="G184" s="138"/>
      <x:c r="H184" s="138"/>
      <x:c r="I184" s="138"/>
      <x:c r="J184" s="138"/>
      <x:c r="K184" s="138"/>
      <x:c r="L184" s="138"/>
      <x:c r="M184" s="138"/>
      <x:c r="N184" s="138"/>
      <x:c r="O184" s="138"/>
      <x:c r="P184" s="138"/>
      <x:c r="Q184" s="138"/>
      <x:c r="R184" s="138"/>
      <x:c r="S184" s="138"/>
      <x:c r="T184" s="138"/>
      <x:c r="U184" s="138"/>
      <x:c r="V184" s="138"/>
      <x:c r="W184" s="138"/>
      <x:c r="X184" s="138"/>
      <x:c r="Y184" s="138"/>
      <x:c r="Z184" s="138"/>
    </x:row>
    <x:row r="185">
      <x:c r="A185" s="138"/>
      <x:c r="B185" s="138"/>
      <x:c r="C185" s="138"/>
      <x:c r="D185" s="138"/>
      <x:c r="E185" s="138"/>
      <x:c r="F185" s="138"/>
      <x:c r="G185" s="138"/>
      <x:c r="H185" s="138"/>
      <x:c r="I185" s="138"/>
      <x:c r="J185" s="138"/>
      <x:c r="K185" s="138"/>
      <x:c r="L185" s="138"/>
      <x:c r="M185" s="138"/>
      <x:c r="N185" s="138"/>
      <x:c r="O185" s="138"/>
      <x:c r="P185" s="138"/>
      <x:c r="Q185" s="138"/>
      <x:c r="R185" s="138"/>
      <x:c r="S185" s="138"/>
      <x:c r="T185" s="138"/>
      <x:c r="U185" s="138"/>
      <x:c r="V185" s="138"/>
      <x:c r="W185" s="138"/>
      <x:c r="X185" s="138"/>
      <x:c r="Y185" s="138"/>
      <x:c r="Z185" s="138"/>
    </x:row>
    <x:row r="186">
      <x:c r="A186" s="138"/>
      <x:c r="B186" s="138"/>
      <x:c r="C186" s="138"/>
      <x:c r="D186" s="138"/>
      <x:c r="E186" s="138"/>
      <x:c r="F186" s="138"/>
      <x:c r="G186" s="138"/>
      <x:c r="H186" s="138"/>
      <x:c r="I186" s="138"/>
      <x:c r="J186" s="138"/>
      <x:c r="K186" s="138"/>
      <x:c r="L186" s="138"/>
      <x:c r="M186" s="138"/>
      <x:c r="N186" s="138"/>
      <x:c r="O186" s="138"/>
      <x:c r="P186" s="138"/>
      <x:c r="Q186" s="138"/>
      <x:c r="R186" s="138"/>
      <x:c r="S186" s="138"/>
      <x:c r="T186" s="138"/>
      <x:c r="U186" s="138"/>
      <x:c r="V186" s="138"/>
      <x:c r="W186" s="138"/>
      <x:c r="X186" s="138"/>
      <x:c r="Y186" s="138"/>
      <x:c r="Z186" s="138"/>
    </x:row>
    <x:row r="187">
      <x:c r="A187" s="138"/>
      <x:c r="B187" s="138"/>
      <x:c r="C187" s="138"/>
      <x:c r="D187" s="138"/>
      <x:c r="E187" s="138"/>
      <x:c r="F187" s="138"/>
      <x:c r="G187" s="138"/>
      <x:c r="H187" s="138"/>
      <x:c r="I187" s="138"/>
      <x:c r="J187" s="138"/>
      <x:c r="K187" s="138"/>
      <x:c r="L187" s="138"/>
      <x:c r="M187" s="138"/>
      <x:c r="N187" s="138"/>
      <x:c r="O187" s="138"/>
      <x:c r="P187" s="138"/>
      <x:c r="Q187" s="138"/>
      <x:c r="R187" s="138"/>
      <x:c r="S187" s="138"/>
      <x:c r="T187" s="138"/>
      <x:c r="U187" s="138"/>
      <x:c r="V187" s="138"/>
      <x:c r="W187" s="138"/>
      <x:c r="X187" s="138"/>
      <x:c r="Y187" s="138"/>
      <x:c r="Z187" s="138"/>
    </x:row>
    <x:row r="188">
      <x:c r="A188" s="138"/>
      <x:c r="B188" s="138"/>
      <x:c r="C188" s="138"/>
      <x:c r="D188" s="138"/>
      <x:c r="E188" s="138"/>
      <x:c r="F188" s="138"/>
      <x:c r="G188" s="138"/>
      <x:c r="H188" s="138"/>
      <x:c r="I188" s="138"/>
      <x:c r="J188" s="138"/>
      <x:c r="K188" s="138"/>
      <x:c r="L188" s="138"/>
      <x:c r="M188" s="138"/>
      <x:c r="N188" s="138"/>
      <x:c r="O188" s="138"/>
      <x:c r="P188" s="138"/>
      <x:c r="Q188" s="138"/>
      <x:c r="R188" s="138"/>
      <x:c r="S188" s="138"/>
      <x:c r="T188" s="138"/>
      <x:c r="U188" s="138"/>
      <x:c r="V188" s="138"/>
      <x:c r="W188" s="138"/>
      <x:c r="X188" s="138"/>
      <x:c r="Y188" s="138"/>
      <x:c r="Z188" s="138"/>
    </x:row>
    <x:row r="189">
      <x:c r="A189" s="138"/>
      <x:c r="B189" s="138"/>
      <x:c r="C189" s="138"/>
      <x:c r="D189" s="138"/>
      <x:c r="E189" s="138"/>
      <x:c r="F189" s="138"/>
      <x:c r="G189" s="138"/>
      <x:c r="H189" s="138"/>
      <x:c r="I189" s="138"/>
      <x:c r="J189" s="138"/>
      <x:c r="K189" s="138"/>
      <x:c r="L189" s="138"/>
      <x:c r="M189" s="138"/>
      <x:c r="N189" s="138"/>
      <x:c r="O189" s="138"/>
      <x:c r="P189" s="138"/>
      <x:c r="Q189" s="138"/>
      <x:c r="R189" s="138"/>
      <x:c r="S189" s="138"/>
      <x:c r="T189" s="138"/>
      <x:c r="U189" s="138"/>
      <x:c r="V189" s="138"/>
      <x:c r="W189" s="138"/>
      <x:c r="X189" s="138"/>
      <x:c r="Y189" s="138"/>
      <x:c r="Z189" s="138"/>
    </x:row>
    <x:row r="190">
      <x:c r="A190" s="138"/>
      <x:c r="B190" s="138"/>
      <x:c r="C190" s="138"/>
      <x:c r="D190" s="138"/>
      <x:c r="E190" s="138"/>
      <x:c r="F190" s="138"/>
      <x:c r="G190" s="138"/>
      <x:c r="H190" s="138"/>
      <x:c r="I190" s="138"/>
      <x:c r="J190" s="138"/>
      <x:c r="K190" s="138"/>
      <x:c r="L190" s="138"/>
      <x:c r="M190" s="138"/>
      <x:c r="N190" s="138"/>
      <x:c r="O190" s="138"/>
      <x:c r="P190" s="138"/>
      <x:c r="Q190" s="138"/>
      <x:c r="R190" s="138"/>
      <x:c r="S190" s="138"/>
      <x:c r="T190" s="138"/>
      <x:c r="U190" s="138"/>
      <x:c r="V190" s="138"/>
      <x:c r="W190" s="138"/>
      <x:c r="X190" s="138"/>
      <x:c r="Y190" s="138"/>
      <x:c r="Z190" s="138"/>
    </x:row>
    <x:row r="191">
      <x:c r="A191" s="138"/>
      <x:c r="B191" s="138"/>
      <x:c r="C191" s="138"/>
      <x:c r="D191" s="138"/>
      <x:c r="E191" s="138"/>
      <x:c r="F191" s="138"/>
      <x:c r="G191" s="138"/>
      <x:c r="H191" s="138"/>
      <x:c r="I191" s="138"/>
      <x:c r="J191" s="138"/>
      <x:c r="K191" s="138"/>
      <x:c r="L191" s="138"/>
      <x:c r="M191" s="138"/>
      <x:c r="N191" s="138"/>
      <x:c r="O191" s="138"/>
      <x:c r="P191" s="138"/>
      <x:c r="Q191" s="138"/>
      <x:c r="R191" s="138"/>
      <x:c r="S191" s="138"/>
      <x:c r="T191" s="138"/>
      <x:c r="U191" s="138"/>
      <x:c r="V191" s="138"/>
      <x:c r="W191" s="138"/>
      <x:c r="X191" s="138"/>
      <x:c r="Y191" s="138"/>
      <x:c r="Z191" s="138"/>
    </x:row>
    <x:row r="192">
      <x:c r="A192" s="138"/>
      <x:c r="B192" s="138"/>
      <x:c r="C192" s="138"/>
      <x:c r="D192" s="138"/>
      <x:c r="E192" s="138"/>
      <x:c r="F192" s="138"/>
      <x:c r="G192" s="138"/>
      <x:c r="H192" s="138"/>
      <x:c r="I192" s="138"/>
      <x:c r="J192" s="138"/>
      <x:c r="K192" s="138"/>
      <x:c r="L192" s="138"/>
      <x:c r="M192" s="138"/>
      <x:c r="N192" s="138"/>
      <x:c r="O192" s="138"/>
      <x:c r="P192" s="138"/>
      <x:c r="Q192" s="138"/>
      <x:c r="R192" s="138"/>
      <x:c r="S192" s="138"/>
      <x:c r="T192" s="138"/>
      <x:c r="U192" s="138"/>
      <x:c r="V192" s="138"/>
      <x:c r="W192" s="138"/>
      <x:c r="X192" s="138"/>
      <x:c r="Y192" s="138"/>
      <x:c r="Z192" s="138"/>
    </x:row>
    <x:row r="193">
      <x:c r="A193" s="138"/>
      <x:c r="B193" s="138"/>
      <x:c r="C193" s="138"/>
      <x:c r="D193" s="138"/>
      <x:c r="E193" s="138"/>
      <x:c r="F193" s="138"/>
      <x:c r="G193" s="138"/>
      <x:c r="H193" s="138"/>
      <x:c r="I193" s="138"/>
      <x:c r="J193" s="138"/>
      <x:c r="K193" s="138"/>
      <x:c r="L193" s="138"/>
      <x:c r="M193" s="138"/>
      <x:c r="N193" s="138"/>
      <x:c r="O193" s="138"/>
      <x:c r="P193" s="138"/>
      <x:c r="Q193" s="138"/>
      <x:c r="R193" s="138"/>
      <x:c r="S193" s="138"/>
      <x:c r="T193" s="138"/>
      <x:c r="U193" s="138"/>
      <x:c r="V193" s="138"/>
      <x:c r="W193" s="138"/>
      <x:c r="X193" s="138"/>
      <x:c r="Y193" s="138"/>
      <x:c r="Z193" s="138"/>
    </x:row>
    <x:row r="194">
      <x:c r="A194" s="138"/>
      <x:c r="B194" s="138"/>
      <x:c r="C194" s="138"/>
      <x:c r="D194" s="138"/>
      <x:c r="E194" s="138"/>
      <x:c r="F194" s="138"/>
      <x:c r="G194" s="138"/>
      <x:c r="H194" s="138"/>
      <x:c r="I194" s="138"/>
      <x:c r="J194" s="138"/>
      <x:c r="K194" s="138"/>
      <x:c r="L194" s="138"/>
      <x:c r="M194" s="138"/>
      <x:c r="N194" s="138"/>
      <x:c r="O194" s="138"/>
      <x:c r="P194" s="138"/>
      <x:c r="Q194" s="138"/>
      <x:c r="R194" s="138"/>
      <x:c r="S194" s="138"/>
      <x:c r="T194" s="138"/>
      <x:c r="U194" s="138"/>
      <x:c r="V194" s="138"/>
      <x:c r="W194" s="138"/>
      <x:c r="X194" s="138"/>
      <x:c r="Y194" s="138"/>
      <x:c r="Z194" s="138"/>
    </x:row>
    <x:row r="195">
      <x:c r="A195" s="138"/>
      <x:c r="B195" s="138"/>
      <x:c r="C195" s="138"/>
      <x:c r="D195" s="138"/>
      <x:c r="E195" s="138"/>
      <x:c r="F195" s="138"/>
      <x:c r="G195" s="138"/>
      <x:c r="H195" s="138"/>
      <x:c r="I195" s="138"/>
      <x:c r="J195" s="138"/>
      <x:c r="K195" s="138"/>
      <x:c r="L195" s="138"/>
      <x:c r="M195" s="138"/>
      <x:c r="N195" s="138"/>
      <x:c r="O195" s="138"/>
      <x:c r="P195" s="138"/>
      <x:c r="Q195" s="138"/>
      <x:c r="R195" s="138"/>
      <x:c r="S195" s="138"/>
      <x:c r="T195" s="138"/>
      <x:c r="U195" s="138"/>
      <x:c r="V195" s="138"/>
      <x:c r="W195" s="138"/>
      <x:c r="X195" s="138"/>
      <x:c r="Y195" s="138"/>
      <x:c r="Z195" s="138"/>
    </x:row>
    <x:row r="196">
      <x:c r="A196" s="138"/>
      <x:c r="B196" s="138"/>
      <x:c r="C196" s="138"/>
      <x:c r="D196" s="138"/>
      <x:c r="E196" s="138"/>
      <x:c r="F196" s="138"/>
      <x:c r="G196" s="138"/>
      <x:c r="H196" s="138"/>
      <x:c r="I196" s="138"/>
      <x:c r="J196" s="138"/>
      <x:c r="K196" s="138"/>
      <x:c r="L196" s="138"/>
      <x:c r="M196" s="138"/>
      <x:c r="N196" s="138"/>
      <x:c r="O196" s="138"/>
      <x:c r="P196" s="138"/>
      <x:c r="Q196" s="138"/>
      <x:c r="R196" s="138"/>
      <x:c r="S196" s="138"/>
      <x:c r="T196" s="138"/>
      <x:c r="U196" s="138"/>
      <x:c r="V196" s="138"/>
      <x:c r="W196" s="138"/>
      <x:c r="X196" s="138"/>
      <x:c r="Y196" s="138"/>
      <x:c r="Z196" s="138"/>
    </x:row>
    <x:row r="197">
      <x:c r="A197" s="138"/>
      <x:c r="B197" s="138"/>
      <x:c r="C197" s="138"/>
      <x:c r="D197" s="138"/>
      <x:c r="E197" s="138"/>
      <x:c r="F197" s="138"/>
      <x:c r="G197" s="138"/>
      <x:c r="H197" s="138"/>
      <x:c r="I197" s="138"/>
      <x:c r="J197" s="138"/>
      <x:c r="K197" s="138"/>
      <x:c r="L197" s="138"/>
      <x:c r="M197" s="138"/>
      <x:c r="N197" s="138"/>
      <x:c r="O197" s="138"/>
      <x:c r="P197" s="138"/>
      <x:c r="Q197" s="138"/>
      <x:c r="R197" s="138"/>
      <x:c r="S197" s="138"/>
      <x:c r="T197" s="138"/>
      <x:c r="U197" s="138"/>
      <x:c r="V197" s="138"/>
      <x:c r="W197" s="138"/>
      <x:c r="X197" s="138"/>
      <x:c r="Y197" s="138"/>
      <x:c r="Z197" s="138"/>
    </x:row>
    <x:row r="198">
      <x:c r="A198" s="138"/>
      <x:c r="B198" s="138"/>
      <x:c r="C198" s="138"/>
      <x:c r="D198" s="138"/>
      <x:c r="E198" s="138"/>
      <x:c r="F198" s="138"/>
      <x:c r="G198" s="138"/>
      <x:c r="H198" s="138"/>
      <x:c r="I198" s="138"/>
      <x:c r="J198" s="138"/>
      <x:c r="K198" s="138"/>
      <x:c r="L198" s="138"/>
      <x:c r="M198" s="138"/>
      <x:c r="N198" s="138"/>
      <x:c r="O198" s="138"/>
      <x:c r="P198" s="138"/>
      <x:c r="Q198" s="138"/>
      <x:c r="R198" s="138"/>
      <x:c r="S198" s="138"/>
      <x:c r="T198" s="138"/>
      <x:c r="U198" s="138"/>
      <x:c r="V198" s="138"/>
      <x:c r="W198" s="138"/>
      <x:c r="X198" s="138"/>
      <x:c r="Y198" s="138"/>
      <x:c r="Z198" s="138"/>
    </x:row>
    <x:row r="199">
      <x:c r="A199" s="138"/>
      <x:c r="B199" s="138"/>
      <x:c r="C199" s="138"/>
      <x:c r="D199" s="138"/>
      <x:c r="E199" s="138"/>
      <x:c r="F199" s="138"/>
      <x:c r="G199" s="138"/>
      <x:c r="H199" s="138"/>
      <x:c r="I199" s="138"/>
      <x:c r="J199" s="138"/>
      <x:c r="K199" s="138"/>
      <x:c r="L199" s="138"/>
      <x:c r="M199" s="138"/>
      <x:c r="N199" s="138"/>
      <x:c r="O199" s="138"/>
      <x:c r="P199" s="138"/>
      <x:c r="Q199" s="138"/>
      <x:c r="R199" s="138"/>
      <x:c r="S199" s="138"/>
      <x:c r="T199" s="138"/>
      <x:c r="U199" s="138"/>
      <x:c r="V199" s="138"/>
      <x:c r="W199" s="138"/>
      <x:c r="X199" s="138"/>
      <x:c r="Y199" s="138"/>
      <x:c r="Z199" s="138"/>
    </x:row>
    <x:row r="200">
      <x:c r="A200" s="138"/>
      <x:c r="B200" s="138"/>
      <x:c r="C200" s="138"/>
      <x:c r="D200" s="138"/>
      <x:c r="E200" s="138"/>
      <x:c r="F200" s="138"/>
      <x:c r="G200" s="138"/>
      <x:c r="H200" s="138"/>
      <x:c r="I200" s="138"/>
      <x:c r="J200" s="138"/>
      <x:c r="K200" s="138"/>
      <x:c r="L200" s="138"/>
      <x:c r="M200" s="138"/>
      <x:c r="N200" s="138"/>
      <x:c r="O200" s="138"/>
      <x:c r="P200" s="138"/>
      <x:c r="Q200" s="138"/>
      <x:c r="R200" s="138"/>
      <x:c r="S200" s="138"/>
      <x:c r="T200" s="138"/>
      <x:c r="U200" s="138"/>
      <x:c r="V200" s="138"/>
      <x:c r="W200" s="138"/>
      <x:c r="X200" s="138"/>
      <x:c r="Y200" s="138"/>
      <x:c r="Z200" s="138"/>
    </x:row>
  </x:sheetData>
  <x:mergeCells>
    <x:mergeCell ref="A1:G1"/>
    <x:mergeCell ref="A2:G2"/>
    <x:mergeCell ref="A4:G4"/>
    <x:mergeCell ref="A9:G9"/>
    <x:mergeCell ref="A22:G22"/>
    <x:mergeCell ref="A36:G3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6" hidden="0" customWidth="1"/>
    <x:col min="3" max="3" width="28" hidden="0" customWidth="1"/>
    <x:col min="4" max="4" width="13" hidden="0" customWidth="1"/>
    <x:col min="5" max="5" width="12" hidden="0" customWidth="1"/>
    <x:col min="6" max="6" width="14" hidden="0" customWidth="1"/>
    <x:col min="7" max="7" width="34" hidden="0" customWidth="1"/>
    <x:col min="8" max="8" width="13" hidden="0" customWidth="1"/>
    <x:col min="9" max="9" width="15" hidden="0" customWidth="1"/>
    <x:col min="10" max="10" width="38" hidden="0" customWidth="1"/>
  </x:cols>
  <x:sheetData>
    <x:row r="1" ht="32" customHeight="1">
      <x:c r="A1" s="137" t="str">
        <x:v>Action → Arcova Credit Schedule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  <x:c r="V1" s="138"/>
      <x:c r="W1" s="138"/>
      <x:c r="X1" s="138"/>
      <x:c r="Y1" s="138"/>
      <x:c r="Z1" s="138"/>
    </x:row>
    <x:row r="2" ht="30" customHeight="1">
      <x:c r="A2" s="139" t="str">
        <x:v>The public price is deliberately rounded above base COGS. Monitoring is metered internally but included as a plan entitlement.</x:v>
      </x:c>
      <x:c r="B2" s="138"/>
      <x:c r="C2" s="138"/>
      <x:c r="D2" s="138"/>
      <x:c r="E2" s="138"/>
      <x:c r="F2" s="138"/>
      <x:c r="G2" s="138"/>
      <x:c r="H2" s="138"/>
      <x:c r="I2" s="138"/>
      <x:c r="J2" s="138"/>
      <x:c r="K2" s="138"/>
      <x:c r="L2" s="138"/>
      <x:c r="M2" s="138"/>
      <x:c r="N2" s="138"/>
      <x:c r="O2" s="138"/>
      <x:c r="P2" s="138"/>
      <x:c r="Q2" s="138"/>
      <x:c r="R2" s="138"/>
      <x:c r="S2" s="138"/>
      <x:c r="T2" s="138"/>
      <x:c r="U2" s="138"/>
      <x:c r="V2" s="138"/>
      <x:c r="W2" s="138"/>
      <x:c r="X2" s="138"/>
      <x:c r="Y2" s="138"/>
      <x:c r="Z2" s="138"/>
    </x:row>
    <x:row r="3">
      <x:c r="A3" s="138"/>
      <x:c r="B3" s="138"/>
      <x:c r="C3" s="138"/>
      <x:c r="D3" s="138"/>
      <x:c r="E3" s="138"/>
      <x:c r="F3" s="138"/>
      <x:c r="G3" s="138"/>
      <x:c r="H3" s="138"/>
      <x:c r="I3" s="138"/>
      <x:c r="J3" s="138"/>
      <x:c r="K3" s="138"/>
      <x:c r="L3" s="138"/>
      <x:c r="M3" s="138"/>
      <x:c r="N3" s="138"/>
      <x:c r="O3" s="138"/>
      <x:c r="P3" s="138"/>
      <x:c r="Q3" s="138"/>
      <x:c r="R3" s="138"/>
      <x:c r="S3" s="138"/>
      <x:c r="T3" s="138"/>
      <x:c r="U3" s="138"/>
      <x:c r="V3" s="138"/>
      <x:c r="W3" s="138"/>
      <x:c r="X3" s="138"/>
      <x:c r="Y3" s="138"/>
      <x:c r="Z3" s="138"/>
    </x:row>
    <x:row r="4">
      <x:c r="A4" s="141" t="str">
        <x:v>Action</x:v>
      </x:c>
      <x:c r="B4" s="142" t="str">
        <x:v>Customer trigger</x:v>
      </x:c>
      <x:c r="C4" s="142" t="str">
        <x:v>Provider cost formula</x:v>
      </x:c>
      <x:c r="D4" s="142" t="str">
        <x:v>Base COGS $</x:v>
      </x:c>
      <x:c r="E4" s="142" t="str">
        <x:v>Cost credits</x:v>
      </x:c>
      <x:c r="F4" s="142" t="str">
        <x:v>Customer credits</x:v>
      </x:c>
      <x:c r="G4" s="142" t="str">
        <x:v>Customer-facing rule</x:v>
      </x:c>
      <x:c r="H4" s="142" t="str">
        <x:v>Automatic?</x:v>
      </x:c>
      <x:c r="I4" s="142" t="str">
        <x:v>Refund on failure?</x:v>
      </x:c>
      <x:c r="J4" s="143" t="str">
        <x:v>Notes</x:v>
      </x:c>
      <x:c r="K4" s="138"/>
      <x:c r="L4" s="138"/>
      <x:c r="M4" s="138"/>
      <x:c r="N4" s="138"/>
      <x:c r="O4" s="138"/>
      <x:c r="P4" s="138"/>
      <x:c r="Q4" s="138"/>
      <x:c r="R4" s="138"/>
      <x:c r="S4" s="138"/>
      <x:c r="T4" s="138"/>
      <x:c r="U4" s="138"/>
      <x:c r="V4" s="138"/>
      <x:c r="W4" s="138"/>
      <x:c r="X4" s="138"/>
      <x:c r="Y4" s="138"/>
      <x:c r="Z4" s="138"/>
    </x:row>
    <x:row r="5">
      <x:c r="A5" s="144" t="str">
        <x:v>Setup company/profile/ICP enrichment</x:v>
      </x:c>
      <x:c r="B5" s="151" t="str">
        <x:v>Onboarding</x:v>
      </x:c>
      <x:c r="C5" s="151" t="str">
        <x:v>Absorbed onboarding COGS</x:v>
      </x:c>
      <x:c r="D5" s="163" t="n">
        <x:v>0</x:v>
      </x:c>
      <x:c r="E5" s="164" t="n">
        <x:v>0</x:v>
      </x:c>
      <x:c r="F5" s="165" t="n">
        <x:v>0</x:v>
      </x:c>
      <x:c r="G5" s="151" t="str">
        <x:v>Free</x:v>
      </x:c>
      <x:c r="H5" s="151" t="str">
        <x:v>Yes</x:v>
      </x:c>
      <x:c r="I5" s="151" t="str">
        <x:v>n/a</x:v>
      </x:c>
      <x:c r="J5" s="146" t="str">
        <x:v>Keep setup frictionless.</x:v>
      </x:c>
      <x:c r="K5" s="138"/>
      <x:c r="L5" s="138"/>
      <x:c r="M5" s="138"/>
      <x:c r="N5" s="138"/>
      <x:c r="O5" s="138"/>
      <x:c r="P5" s="138"/>
      <x:c r="Q5" s="138"/>
      <x:c r="R5" s="138"/>
      <x:c r="S5" s="138"/>
      <x:c r="T5" s="138"/>
      <x:c r="U5" s="138"/>
      <x:c r="V5" s="138"/>
      <x:c r="W5" s="138"/>
      <x:c r="X5" s="138"/>
      <x:c r="Y5" s="138"/>
      <x:c r="Z5" s="138"/>
    </x:row>
    <x:row r="6">
      <x:c r="A6" s="152" t="str">
        <x:v>CRM / CSV import</x:v>
      </x:c>
      <x:c r="B6" s="154" t="str">
        <x:v>Upload or sync</x:v>
      </x:c>
      <x:c r="C6" s="154" t="str">
        <x:v>No paid data call</x:v>
      </x:c>
      <x:c r="D6" s="166" t="n">
        <x:v>0</x:v>
      </x:c>
      <x:c r="E6" s="167" t="n">
        <x:v>0</x:v>
      </x:c>
      <x:c r="F6" s="168" t="n">
        <x:v>0</x:v>
      </x:c>
      <x:c r="G6" s="154" t="str">
        <x:v>Free</x:v>
      </x:c>
      <x:c r="H6" s="154" t="str">
        <x:v>Yes</x:v>
      </x:c>
      <x:c r="I6" s="154" t="str">
        <x:v>n/a</x:v>
      </x:c>
      <x:c r="J6" s="155" t="str">
        <x:v>Importing storage is not enrichment.</x:v>
      </x:c>
      <x:c r="K6" s="138"/>
      <x:c r="L6" s="138"/>
      <x:c r="M6" s="138"/>
      <x:c r="N6" s="138"/>
      <x:c r="O6" s="138"/>
      <x:c r="P6" s="138"/>
      <x:c r="Q6" s="138"/>
      <x:c r="R6" s="138"/>
      <x:c r="S6" s="138"/>
      <x:c r="T6" s="138"/>
      <x:c r="U6" s="138"/>
      <x:c r="V6" s="138"/>
      <x:c r="W6" s="138"/>
      <x:c r="X6" s="138"/>
      <x:c r="Y6" s="138"/>
      <x:c r="Z6" s="138"/>
    </x:row>
    <x:row r="7">
      <x:c r="A7" s="152" t="str">
        <x:v>Cheap pre-triage</x:v>
      </x:c>
      <x:c r="B7" s="154" t="str">
        <x:v>New contact or company record</x:v>
      </x:c>
      <x:c r="C7" s="154" t="str">
        <x:v>Haiku tokens</x:v>
      </x:c>
      <x:c r="D7" s="166" t="n">
        <x:f>((Assumptions!B24/1000000)*Assumptions!C19)+((Assumptions!B25/1000000)*Assumptions!C20)</x:f>
        <x:v>0.0007</x:v>
      </x:c>
      <x:c r="E7" s="167" t="n">
        <x:f>D7/Assumptions!B6</x:f>
        <x:v>0.06999999999999999</x:v>
      </x:c>
      <x:c r="F7" s="168" t="n">
        <x:v>0.1</x:v>
      </x:c>
      <x:c r="G7" s="154" t="str">
        <x:v>0.1 credit / record after included triage allowance</x:v>
      </x:c>
      <x:c r="H7" s="154" t="str">
        <x:v>Yes</x:v>
      </x:c>
      <x:c r="I7" s="154" t="str">
        <x:v>Yes</x:v>
      </x:c>
      <x:c r="J7" s="155" t="str">
        <x:v>Batch before enrichment; rank first.</x:v>
      </x:c>
      <x:c r="K7" s="138"/>
      <x:c r="L7" s="138"/>
      <x:c r="M7" s="138"/>
      <x:c r="N7" s="138"/>
      <x:c r="O7" s="138"/>
      <x:c r="P7" s="138"/>
      <x:c r="Q7" s="138"/>
      <x:c r="R7" s="138"/>
      <x:c r="S7" s="138"/>
      <x:c r="T7" s="138"/>
      <x:c r="U7" s="138"/>
      <x:c r="V7" s="138"/>
      <x:c r="W7" s="138"/>
      <x:c r="X7" s="138"/>
      <x:c r="Y7" s="138"/>
      <x:c r="Z7" s="138"/>
    </x:row>
    <x:row r="8">
      <x:c r="A8" s="152" t="str">
        <x:v>Imported lead enrichment</x:v>
      </x:c>
      <x:c r="B8" s="154" t="str">
        <x:v>User selects ranked lead / bulk queue</x:v>
      </x:c>
      <x:c r="C8" s="154" t="str">
        <x:v>1.3 Apollo + Apify + 30% ZB validation</x:v>
      </x:c>
      <x:c r="D8" s="166" t="n">
        <x:f>'Assumptions'!C12*'Assumptions'!C11+'Assumptions'!C15+'Assumptions'!B29*'Assumptions'!C17</x:f>
        <x:v>0.0325</x:v>
      </x:c>
      <x:c r="E8" s="167" t="n">
        <x:f>D8/Assumptions!B6</x:f>
        <x:v>3.25</x:v>
      </x:c>
      <x:c r="F8" s="168" t="n">
        <x:v>4</x:v>
      </x:c>
      <x:c r="G8" s="154" t="str">
        <x:v>4 credits / contact+company lead; validation included when email returned</x:v>
      </x:c>
      <x:c r="H8" s="154" t="str">
        <x:v>No</x:v>
      </x:c>
      <x:c r="I8" s="154" t="str">
        <x:v>Yes</x:v>
      </x:c>
      <x:c r="J8" s="155" t="str">
        <x:v>Includes ZeroBounce validation when an email is returned. Validation COGS is modeled as validation share x ZB unit cost.</x:v>
      </x:c>
      <x:c r="K8" s="138"/>
      <x:c r="L8" s="138"/>
      <x:c r="M8" s="138"/>
      <x:c r="N8" s="138"/>
      <x:c r="O8" s="138"/>
      <x:c r="P8" s="138"/>
      <x:c r="Q8" s="138"/>
      <x:c r="R8" s="138"/>
      <x:c r="S8" s="138"/>
      <x:c r="T8" s="138"/>
      <x:c r="U8" s="138"/>
      <x:c r="V8" s="138"/>
      <x:c r="W8" s="138"/>
      <x:c r="X8" s="138"/>
      <x:c r="Y8" s="138"/>
      <x:c r="Z8" s="138"/>
    </x:row>
    <x:row r="9">
      <x:c r="A9" s="152" t="str">
        <x:v>Company-only enrichment</x:v>
      </x:c>
      <x:c r="B9" s="154" t="str">
        <x:v>User requests company refresh</x:v>
      </x:c>
      <x:c r="C9" s="154" t="str">
        <x:v>1 Apollo + Apify company</x:v>
      </x:c>
      <x:c r="D9" s="166" t="n">
        <x:f>Assumptions!C11+0.004</x:f>
        <x:v>0.024</x:v>
      </x:c>
      <x:c r="E9" s="167" t="n">
        <x:f>D9/Assumptions!B6</x:f>
        <x:v>2.4</x:v>
      </x:c>
      <x:c r="F9" s="168" t="n">
        <x:v>3</x:v>
      </x:c>
      <x:c r="G9" s="154" t="str">
        <x:v>3 credits / company</x:v>
      </x:c>
      <x:c r="H9" s="154" t="str">
        <x:v>No</x:v>
      </x:c>
      <x:c r="I9" s="154" t="str">
        <x:v>Yes</x:v>
      </x:c>
      <x:c r="J9" s="155" t="str">
        <x:v>Free during setup only.</x:v>
      </x:c>
      <x:c r="K9" s="138"/>
      <x:c r="L9" s="138"/>
      <x:c r="M9" s="138"/>
      <x:c r="N9" s="138"/>
      <x:c r="O9" s="138"/>
      <x:c r="P9" s="138"/>
      <x:c r="Q9" s="138"/>
      <x:c r="R9" s="138"/>
      <x:c r="S9" s="138"/>
      <x:c r="T9" s="138"/>
      <x:c r="U9" s="138"/>
      <x:c r="V9" s="138"/>
      <x:c r="W9" s="138"/>
      <x:c r="X9" s="138"/>
      <x:c r="Y9" s="138"/>
      <x:c r="Z9" s="138"/>
    </x:row>
    <x:row r="10">
      <x:c r="A10" s="152" t="str">
        <x:v>Email validation</x:v>
      </x:c>
      <x:c r="B10" s="154" t="str">
        <x:v>User validates an unverified address</x:v>
      </x:c>
      <x:c r="C10" s="154" t="str">
        <x:v>1 ZeroBounce validation</x:v>
      </x:c>
      <x:c r="D10" s="166" t="n">
        <x:f>Assumptions!C17</x:f>
        <x:v>0.005</x:v>
      </x:c>
      <x:c r="E10" s="167" t="n">
        <x:f>D10/Assumptions!B6</x:f>
        <x:v>0.5</x:v>
      </x:c>
      <x:c r="F10" s="168" t="n">
        <x:v>0.5</x:v>
      </x:c>
      <x:c r="G10" s="154" t="str">
        <x:v>0.5 credit / billable validation</x:v>
      </x:c>
      <x:c r="H10" s="154" t="str">
        <x:v>No</x:v>
      </x:c>
      <x:c r="I10" s="154" t="str">
        <x:v>Yes</x:v>
      </x:c>
      <x:c r="J10" s="155" t="str">
        <x:v>Unknown responses are not billed by ZeroBounce.</x:v>
      </x:c>
      <x:c r="K10" s="138"/>
      <x:c r="L10" s="138"/>
      <x:c r="M10" s="138"/>
      <x:c r="N10" s="138"/>
      <x:c r="O10" s="138"/>
      <x:c r="P10" s="138"/>
      <x:c r="Q10" s="138"/>
      <x:c r="R10" s="138"/>
      <x:c r="S10" s="138"/>
      <x:c r="T10" s="138"/>
      <x:c r="U10" s="138"/>
      <x:c r="V10" s="138"/>
      <x:c r="W10" s="138"/>
      <x:c r="X10" s="138"/>
      <x:c r="Y10" s="138"/>
      <x:c r="Z10" s="138"/>
    </x:row>
    <x:row r="11">
      <x:c r="A11" s="152" t="str">
        <x:v>Find new email</x:v>
      </x:c>
      <x:c r="B11" s="154" t="str">
        <x:v>User clicks find email</x:v>
      </x:c>
      <x:c r="C11" s="154" t="str">
        <x:v>20 ZB credits + validation</x:v>
      </x:c>
      <x:c r="D11" s="166" t="n">
        <x:f>Assumptions!C18*Assumptions!C17+Assumptions!C17</x:f>
        <x:v>0.10500000000000001</x:v>
      </x:c>
      <x:c r="E11" s="167" t="n">
        <x:f>D11/Assumptions!B6</x:f>
        <x:v>10.5</x:v>
      </x:c>
      <x:c r="F11" s="168" t="n">
        <x:v>11</x:v>
      </x:c>
      <x:c r="G11" s="154" t="str">
        <x:v>11 credits / successful find</x:v>
      </x:c>
      <x:c r="H11" s="154" t="str">
        <x:v>No</x:v>
      </x:c>
      <x:c r="I11" s="154" t="str">
        <x:v>Yes</x:v>
      </x:c>
      <x:c r="J11" s="155" t="str">
        <x:v>Charge on successful finder result; validation included.</x:v>
      </x:c>
      <x:c r="K11" s="138"/>
      <x:c r="L11" s="138"/>
      <x:c r="M11" s="138"/>
      <x:c r="N11" s="138"/>
      <x:c r="O11" s="138"/>
      <x:c r="P11" s="138"/>
      <x:c r="Q11" s="138"/>
      <x:c r="R11" s="138"/>
      <x:c r="S11" s="138"/>
      <x:c r="T11" s="138"/>
      <x:c r="U11" s="138"/>
      <x:c r="V11" s="138"/>
      <x:c r="W11" s="138"/>
      <x:c r="X11" s="138"/>
      <x:c r="Y11" s="138"/>
      <x:c r="Z11" s="138"/>
    </x:row>
    <x:row r="12">
      <x:c r="A12" s="152" t="str">
        <x:v>Phone reveal</x:v>
      </x:c>
      <x:c r="B12" s="154" t="str">
        <x:v>User clicks reveal phone</x:v>
      </x:c>
      <x:c r="C12" s="154" t="str">
        <x:v>8 Apollo credits at high rate</x:v>
      </x:c>
      <x:c r="D12" s="166" t="n">
        <x:f>Assumptions!C14*Assumptions!D11</x:f>
        <x:v>0.2</x:v>
      </x:c>
      <x:c r="E12" s="167" t="n">
        <x:f>D12/Assumptions!B6</x:f>
        <x:v>20</x:v>
      </x:c>
      <x:c r="F12" s="168" t="n">
        <x:v>20</x:v>
      </x:c>
      <x:c r="G12" s="154" t="str">
        <x:v>20 credits / reveal request</x:v>
      </x:c>
      <x:c r="H12" s="169" t="str">
        <x:v>No</x:v>
      </x:c>
      <x:c r="I12" s="154" t="str">
        <x:v>Yes</x:v>
      </x:c>
      <x:c r="J12" s="170" t="str">
        <x:v>Never auto-reveal. Charge when request accepted; refund on provider failure.</x:v>
      </x:c>
      <x:c r="K12" s="138"/>
      <x:c r="L12" s="138"/>
      <x:c r="M12" s="138"/>
      <x:c r="N12" s="138"/>
      <x:c r="O12" s="138"/>
      <x:c r="P12" s="138"/>
      <x:c r="Q12" s="138"/>
      <x:c r="R12" s="138"/>
      <x:c r="S12" s="138"/>
      <x:c r="T12" s="138"/>
      <x:c r="U12" s="138"/>
      <x:c r="V12" s="138"/>
      <x:c r="W12" s="138"/>
      <x:c r="X12" s="138"/>
      <x:c r="Y12" s="138"/>
      <x:c r="Z12" s="138"/>
    </x:row>
    <x:row r="13">
      <x:c r="A13" s="152" t="str">
        <x:v>Net-new enriched lead from Data</x:v>
      </x:c>
      <x:c r="B13" s="154" t="str">
        <x:v>User confirms lead purchase</x:v>
      </x:c>
      <x:c r="C13" s="154" t="str">
        <x:v>Apollo export + Apify + 30% validation</x:v>
      </x:c>
      <x:c r="D13" s="166" t="n">
        <x:f>Assumptions!C13*Assumptions!C11+0.004+Assumptions!B29*Assumptions!C17</x:f>
        <x:v>0.025500000000000002</x:v>
      </x:c>
      <x:c r="E13" s="167" t="n">
        <x:f>D13/Assumptions!B6</x:f>
        <x:v>2.5500000000000003</x:v>
      </x:c>
      <x:c r="F13" s="168" t="n">
        <x:v>4</x:v>
      </x:c>
      <x:c r="G13" s="154" t="str">
        <x:v>4 credits / net-new lead</x:v>
      </x:c>
      <x:c r="H13" s="154" t="str">
        <x:v>No</x:v>
      </x:c>
      <x:c r="I13" s="154" t="str">
        <x:v>Yes</x:v>
      </x:c>
      <x:c r="J13" s="155" t="str">
        <x:v>Discovery value is monetized by overage price, not fake cost units.</x:v>
      </x:c>
      <x:c r="K13" s="138"/>
      <x:c r="L13" s="138"/>
      <x:c r="M13" s="138"/>
      <x:c r="N13" s="138"/>
      <x:c r="O13" s="138"/>
      <x:c r="P13" s="138"/>
      <x:c r="Q13" s="138"/>
      <x:c r="R13" s="138"/>
      <x:c r="S13" s="138"/>
      <x:c r="T13" s="138"/>
      <x:c r="U13" s="138"/>
      <x:c r="V13" s="138"/>
      <x:c r="W13" s="138"/>
      <x:c r="X13" s="138"/>
      <x:c r="Y13" s="138"/>
      <x:c r="Z13" s="138"/>
    </x:row>
    <x:row r="14">
      <x:c r="A14" s="152" t="str">
        <x:v>Manual lead refresh</x:v>
      </x:c>
      <x:c r="B14" s="154" t="str">
        <x:v>User requests refresh</x:v>
      </x:c>
      <x:c r="C14" s="154" t="str">
        <x:v>Same as imported lead</x:v>
      </x:c>
      <x:c r="D14" s="166" t="n">
        <x:f>D8</x:f>
        <x:v>0.0325</x:v>
      </x:c>
      <x:c r="E14" s="167" t="n">
        <x:f>D14/Assumptions!B6</x:f>
        <x:v>3.25</x:v>
      </x:c>
      <x:c r="F14" s="168" t="n">
        <x:v>4</x:v>
      </x:c>
      <x:c r="G14" s="154" t="str">
        <x:v>4 credits / manual refresh</x:v>
      </x:c>
      <x:c r="H14" s="154" t="str">
        <x:v>No</x:v>
      </x:c>
      <x:c r="I14" s="154" t="str">
        <x:v>Yes</x:v>
      </x:c>
      <x:c r="J14" s="155" t="str">
        <x:v>Routine monitoring refreshes are included.</x:v>
      </x:c>
      <x:c r="K14" s="138"/>
      <x:c r="L14" s="138"/>
      <x:c r="M14" s="138"/>
      <x:c r="N14" s="138"/>
      <x:c r="O14" s="138"/>
      <x:c r="P14" s="138"/>
      <x:c r="Q14" s="138"/>
      <x:c r="R14" s="138"/>
      <x:c r="S14" s="138"/>
      <x:c r="T14" s="138"/>
      <x:c r="U14" s="138"/>
      <x:c r="V14" s="138"/>
      <x:c r="W14" s="138"/>
      <x:c r="X14" s="138"/>
      <x:c r="Y14" s="138"/>
      <x:c r="Z14" s="138"/>
    </x:row>
    <x:row r="15">
      <x:c r="A15" s="152" t="str">
        <x:v>Outreach sequence</x:v>
      </x:c>
      <x:c r="B15" s="154" t="str">
        <x:v>User generates a 7-touch sequence</x:v>
      </x:c>
      <x:c r="C15" s="154" t="str">
        <x:v>Sonnet tokens</x:v>
      </x:c>
      <x:c r="D15" s="166" t="n">
        <x:f>(Assumptions!B33/1000000*3)+(Assumptions!B34/1000000*15)</x:f>
        <x:v>0.063</x:v>
      </x:c>
      <x:c r="E15" s="167" t="n">
        <x:f>D15/Assumptions!B6</x:f>
        <x:v>6.3</x:v>
      </x:c>
      <x:c r="F15" s="168" t="n">
        <x:v>5</x:v>
      </x:c>
      <x:c r="G15" s="154" t="str">
        <x:v>5 credits / generated sequence</x:v>
      </x:c>
      <x:c r="H15" s="154" t="str">
        <x:v>No</x:v>
      </x:c>
      <x:c r="I15" s="154" t="str">
        <x:v>Yes</x:v>
      </x:c>
      <x:c r="J15" s="155" t="str">
        <x:v>Starter: 3 per rolling 24h. Growth: 10 per rolling 24h. Lemlist controls sending.</x:v>
      </x:c>
      <x:c r="K15" s="138"/>
      <x:c r="L15" s="138"/>
      <x:c r="M15" s="138"/>
      <x:c r="N15" s="138"/>
      <x:c r="O15" s="138"/>
      <x:c r="P15" s="138"/>
      <x:c r="Q15" s="138"/>
      <x:c r="R15" s="138"/>
      <x:c r="S15" s="138"/>
      <x:c r="T15" s="138"/>
      <x:c r="U15" s="138"/>
      <x:c r="V15" s="138"/>
      <x:c r="W15" s="138"/>
      <x:c r="X15" s="138"/>
      <x:c r="Y15" s="138"/>
      <x:c r="Z15" s="138"/>
    </x:row>
    <x:row r="16">
      <x:c r="A16" s="152" t="str">
        <x:v>Monitoring profile sweep</x:v>
      </x:c>
      <x:c r="B16" s="154" t="str">
        <x:v>Plan cadence</x:v>
      </x:c>
      <x:c r="C16" s="154" t="str">
        <x:v>Apify profile scrape</x:v>
      </x:c>
      <x:c r="D16" s="166" t="n">
        <x:f>Assumptions!C16</x:f>
        <x:v>0.004</x:v>
      </x:c>
      <x:c r="E16" s="167" t="n">
        <x:f>D16/Assumptions!B6</x:f>
        <x:v>0.4</x:v>
      </x:c>
      <x:c r="F16" s="168" t="n">
        <x:v>0</x:v>
      </x:c>
      <x:c r="G16" s="154" t="str">
        <x:v>Included within live-universe cap</x:v>
      </x:c>
      <x:c r="H16" s="154" t="str">
        <x:v>Yes</x:v>
      </x:c>
      <x:c r="I16" s="154" t="str">
        <x:v>n/a</x:v>
      </x:c>
      <x:c r="J16" s="155" t="str">
        <x:v>Internally meter 0.4 cost-credit per contact sweep.</x:v>
      </x:c>
      <x:c r="K16" s="138"/>
      <x:c r="L16" s="138"/>
      <x:c r="M16" s="138"/>
      <x:c r="N16" s="138"/>
      <x:c r="O16" s="138"/>
      <x:c r="P16" s="138"/>
      <x:c r="Q16" s="138"/>
      <x:c r="R16" s="138"/>
      <x:c r="S16" s="138"/>
      <x:c r="T16" s="138"/>
      <x:c r="U16" s="138"/>
      <x:c r="V16" s="138"/>
      <x:c r="W16" s="138"/>
      <x:c r="X16" s="138"/>
      <x:c r="Y16" s="138"/>
      <x:c r="Z16" s="138"/>
    </x:row>
    <x:row r="17">
      <x:c r="A17" s="152" t="str">
        <x:v>Job-change knock-on refresh</x:v>
      </x:c>
      <x:c r="B17" s="154" t="str">
        <x:v>Confirmed employer change</x:v>
      </x:c>
      <x:c r="C17" s="154" t="str">
        <x:v>Full lead refresh</x:v>
      </x:c>
      <x:c r="D17" s="166" t="n">
        <x:f>D8</x:f>
        <x:v>0.0325</x:v>
      </x:c>
      <x:c r="E17" s="167" t="n">
        <x:f>D17/Assumptions!B6</x:f>
        <x:v>3.25</x:v>
      </x:c>
      <x:c r="F17" s="168" t="n">
        <x:v>0</x:v>
      </x:c>
      <x:c r="G17" s="154" t="str">
        <x:v>Included maintenance</x:v>
      </x:c>
      <x:c r="H17" s="154" t="str">
        <x:v>Yes</x:v>
      </x:c>
      <x:c r="I17" s="154" t="str">
        <x:v>n/a</x:v>
      </x:c>
      <x:c r="J17" s="155" t="str">
        <x:v>Budget as plan COGS; do not surprise-debit users.</x:v>
      </x:c>
      <x:c r="K17" s="138"/>
      <x:c r="L17" s="138"/>
      <x:c r="M17" s="138"/>
      <x:c r="N17" s="138"/>
      <x:c r="O17" s="138"/>
      <x:c r="P17" s="138"/>
      <x:c r="Q17" s="138"/>
      <x:c r="R17" s="138"/>
      <x:c r="S17" s="138"/>
      <x:c r="T17" s="138"/>
      <x:c r="U17" s="138"/>
      <x:c r="V17" s="138"/>
      <x:c r="W17" s="138"/>
      <x:c r="X17" s="138"/>
      <x:c r="Y17" s="138"/>
      <x:c r="Z17" s="138"/>
    </x:row>
    <x:row r="18">
      <x:c r="A18" s="147" t="str">
        <x:v>ICP added / edited</x:v>
      </x:c>
      <x:c r="B18" s="159" t="str">
        <x:v>User changes ICP</x:v>
      </x:c>
      <x:c r="C18" s="159" t="str">
        <x:v>Cached re-triage / rescore</x:v>
      </x:c>
      <x:c r="D18" s="171" t="n">
        <x:v>0</x:v>
      </x:c>
      <x:c r="E18" s="172" t="n">
        <x:v>0</x:v>
      </x:c>
      <x:c r="F18" s="173" t="n">
        <x:v>0</x:v>
      </x:c>
      <x:c r="G18" s="159" t="str">
        <x:v>Free</x:v>
      </x:c>
      <x:c r="H18" s="159" t="str">
        <x:v>Yes</x:v>
      </x:c>
      <x:c r="I18" s="159" t="str">
        <x:v>n/a</x:v>
      </x:c>
      <x:c r="J18" s="149" t="str">
        <x:v>Free re-triage of non-enriched records; free cached rescore of enriched records. Debounce repeated edits.</x:v>
      </x:c>
      <x:c r="K18" s="138"/>
      <x:c r="L18" s="138"/>
      <x:c r="M18" s="138"/>
      <x:c r="N18" s="138"/>
      <x:c r="O18" s="138"/>
      <x:c r="P18" s="138"/>
      <x:c r="Q18" s="138"/>
      <x:c r="R18" s="138"/>
      <x:c r="S18" s="138"/>
      <x:c r="T18" s="138"/>
      <x:c r="U18" s="138"/>
      <x:c r="V18" s="138"/>
      <x:c r="W18" s="138"/>
      <x:c r="X18" s="138"/>
      <x:c r="Y18" s="138"/>
      <x:c r="Z18" s="138"/>
    </x:row>
    <x:row r="19">
      <x:c r="A19" s="138"/>
      <x:c r="B19" s="138"/>
      <x:c r="C19" s="138"/>
      <x:c r="D19" s="138"/>
      <x:c r="E19" s="138"/>
      <x:c r="F19" s="138"/>
      <x:c r="G19" s="138"/>
      <x:c r="H19" s="138"/>
      <x:c r="I19" s="138"/>
      <x:c r="J19" s="138"/>
      <x:c r="K19" s="138"/>
      <x:c r="L19" s="138"/>
      <x:c r="M19" s="138"/>
      <x:c r="N19" s="138"/>
      <x:c r="O19" s="138"/>
      <x:c r="P19" s="138"/>
      <x:c r="Q19" s="138"/>
      <x:c r="R19" s="138"/>
      <x:c r="S19" s="138"/>
      <x:c r="T19" s="138"/>
      <x:c r="U19" s="138"/>
      <x:c r="V19" s="138"/>
      <x:c r="W19" s="138"/>
      <x:c r="X19" s="138"/>
      <x:c r="Y19" s="138"/>
      <x:c r="Z19" s="138"/>
    </x:row>
    <x:row r="20">
      <x:c r="A20" s="138"/>
      <x:c r="B20" s="138"/>
      <x:c r="C20" s="138"/>
      <x:c r="D20" s="138"/>
      <x:c r="E20" s="138"/>
      <x:c r="F20" s="138"/>
      <x:c r="G20" s="138"/>
      <x:c r="H20" s="138"/>
      <x:c r="I20" s="138"/>
      <x:c r="J20" s="138"/>
      <x:c r="K20" s="138"/>
      <x:c r="L20" s="138"/>
      <x:c r="M20" s="138"/>
      <x:c r="N20" s="138"/>
      <x:c r="O20" s="138"/>
      <x:c r="P20" s="138"/>
      <x:c r="Q20" s="138"/>
      <x:c r="R20" s="138"/>
      <x:c r="S20" s="138"/>
      <x:c r="T20" s="138"/>
      <x:c r="U20" s="138"/>
      <x:c r="V20" s="138"/>
      <x:c r="W20" s="138"/>
      <x:c r="X20" s="138"/>
      <x:c r="Y20" s="138"/>
      <x:c r="Z20" s="138"/>
    </x:row>
    <x:row r="21">
      <x:c r="A21" s="138"/>
      <x:c r="B21" s="138"/>
      <x:c r="C21" s="138"/>
      <x:c r="D21" s="138"/>
      <x:c r="E21" s="138"/>
      <x:c r="F21" s="138"/>
      <x:c r="G21" s="138"/>
      <x:c r="H21" s="138"/>
      <x:c r="I21" s="138"/>
      <x:c r="J21" s="138"/>
      <x:c r="K21" s="138"/>
      <x:c r="L21" s="138"/>
      <x:c r="M21" s="138"/>
      <x:c r="N21" s="138"/>
      <x:c r="O21" s="138"/>
      <x:c r="P21" s="138"/>
      <x:c r="Q21" s="138"/>
      <x:c r="R21" s="138"/>
      <x:c r="S21" s="138"/>
      <x:c r="T21" s="138"/>
      <x:c r="U21" s="138"/>
      <x:c r="V21" s="138"/>
      <x:c r="W21" s="138"/>
      <x:c r="X21" s="138"/>
      <x:c r="Y21" s="138"/>
      <x:c r="Z21" s="138"/>
    </x:row>
    <x:row r="22">
      <x:c r="A22" s="138"/>
      <x:c r="B22" s="138"/>
      <x:c r="C22" s="138"/>
      <x:c r="D22" s="138"/>
      <x:c r="E22" s="138"/>
      <x:c r="F22" s="138"/>
      <x:c r="G22" s="138"/>
      <x:c r="H22" s="138"/>
      <x:c r="I22" s="138"/>
      <x:c r="J22" s="138"/>
      <x:c r="K22" s="138"/>
      <x:c r="L22" s="138"/>
      <x:c r="M22" s="138"/>
      <x:c r="N22" s="138"/>
      <x:c r="O22" s="138"/>
      <x:c r="P22" s="138"/>
      <x:c r="Q22" s="138"/>
      <x:c r="R22" s="138"/>
      <x:c r="S22" s="138"/>
      <x:c r="T22" s="138"/>
      <x:c r="U22" s="138"/>
      <x:c r="V22" s="138"/>
      <x:c r="W22" s="138"/>
      <x:c r="X22" s="138"/>
      <x:c r="Y22" s="138"/>
      <x:c r="Z22" s="138"/>
    </x:row>
    <x:row r="23">
      <x:c r="A23" s="138"/>
      <x:c r="B23" s="138"/>
      <x:c r="C23" s="138"/>
      <x:c r="D23" s="138"/>
      <x:c r="E23" s="138"/>
      <x:c r="F23" s="138"/>
      <x:c r="G23" s="138"/>
      <x:c r="H23" s="138"/>
      <x:c r="I23" s="138"/>
      <x:c r="J23" s="138"/>
      <x:c r="K23" s="138"/>
      <x:c r="L23" s="138"/>
      <x:c r="M23" s="138"/>
      <x:c r="N23" s="138"/>
      <x:c r="O23" s="138"/>
      <x:c r="P23" s="138"/>
      <x:c r="Q23" s="138"/>
      <x:c r="R23" s="138"/>
      <x:c r="S23" s="138"/>
      <x:c r="T23" s="138"/>
      <x:c r="U23" s="138"/>
      <x:c r="V23" s="138"/>
      <x:c r="W23" s="138"/>
      <x:c r="X23" s="138"/>
      <x:c r="Y23" s="138"/>
      <x:c r="Z23" s="138"/>
    </x:row>
    <x:row r="24">
      <x:c r="A24" s="138"/>
      <x:c r="B24" s="138"/>
      <x:c r="C24" s="138"/>
      <x:c r="D24" s="138"/>
      <x:c r="E24" s="138"/>
      <x:c r="F24" s="138"/>
      <x:c r="G24" s="138"/>
      <x:c r="H24" s="138"/>
      <x:c r="I24" s="138"/>
      <x:c r="J24" s="138"/>
      <x:c r="K24" s="138"/>
      <x:c r="L24" s="138"/>
      <x:c r="M24" s="138"/>
      <x:c r="N24" s="138"/>
      <x:c r="O24" s="138"/>
      <x:c r="P24" s="138"/>
      <x:c r="Q24" s="138"/>
      <x:c r="R24" s="138"/>
      <x:c r="S24" s="138"/>
      <x:c r="T24" s="138"/>
      <x:c r="U24" s="138"/>
      <x:c r="V24" s="138"/>
      <x:c r="W24" s="138"/>
      <x:c r="X24" s="138"/>
      <x:c r="Y24" s="138"/>
      <x:c r="Z24" s="138"/>
    </x:row>
    <x:row r="25">
      <x:c r="A25" s="138"/>
      <x:c r="B25" s="138"/>
      <x:c r="C25" s="138"/>
      <x:c r="D25" s="138"/>
      <x:c r="E25" s="138"/>
      <x:c r="F25" s="138"/>
      <x:c r="G25" s="138"/>
      <x:c r="H25" s="138"/>
      <x:c r="I25" s="138"/>
      <x:c r="J25" s="138"/>
      <x:c r="K25" s="138"/>
      <x:c r="L25" s="138"/>
      <x:c r="M25" s="138"/>
      <x:c r="N25" s="138"/>
      <x:c r="O25" s="138"/>
      <x:c r="P25" s="138"/>
      <x:c r="Q25" s="138"/>
      <x:c r="R25" s="138"/>
      <x:c r="S25" s="138"/>
      <x:c r="T25" s="138"/>
      <x:c r="U25" s="138"/>
      <x:c r="V25" s="138"/>
      <x:c r="W25" s="138"/>
      <x:c r="X25" s="138"/>
      <x:c r="Y25" s="138"/>
      <x:c r="Z25" s="138"/>
    </x:row>
    <x:row r="26">
      <x:c r="A26" s="138"/>
      <x:c r="B26" s="138"/>
      <x:c r="C26" s="138"/>
      <x:c r="D26" s="138"/>
      <x:c r="E26" s="138"/>
      <x:c r="F26" s="138"/>
      <x:c r="G26" s="138"/>
      <x:c r="H26" s="138"/>
      <x:c r="I26" s="138"/>
      <x:c r="J26" s="138"/>
      <x:c r="K26" s="138"/>
      <x:c r="L26" s="138"/>
      <x:c r="M26" s="138"/>
      <x:c r="N26" s="138"/>
      <x:c r="O26" s="138"/>
      <x:c r="P26" s="138"/>
      <x:c r="Q26" s="138"/>
      <x:c r="R26" s="138"/>
      <x:c r="S26" s="138"/>
      <x:c r="T26" s="138"/>
      <x:c r="U26" s="138"/>
      <x:c r="V26" s="138"/>
      <x:c r="W26" s="138"/>
      <x:c r="X26" s="138"/>
      <x:c r="Y26" s="138"/>
      <x:c r="Z26" s="138"/>
    </x:row>
    <x:row r="27">
      <x:c r="A27" s="138"/>
      <x:c r="B27" s="138"/>
      <x:c r="C27" s="138"/>
      <x:c r="D27" s="138"/>
      <x:c r="E27" s="138"/>
      <x:c r="F27" s="138"/>
      <x:c r="G27" s="138"/>
      <x:c r="H27" s="138"/>
      <x:c r="I27" s="138"/>
      <x:c r="J27" s="138"/>
      <x:c r="K27" s="138"/>
      <x:c r="L27" s="138"/>
      <x:c r="M27" s="138"/>
      <x:c r="N27" s="138"/>
      <x:c r="O27" s="138"/>
      <x:c r="P27" s="138"/>
      <x:c r="Q27" s="138"/>
      <x:c r="R27" s="138"/>
      <x:c r="S27" s="138"/>
      <x:c r="T27" s="138"/>
      <x:c r="U27" s="138"/>
      <x:c r="V27" s="138"/>
      <x:c r="W27" s="138"/>
      <x:c r="X27" s="138"/>
      <x:c r="Y27" s="138"/>
      <x:c r="Z27" s="138"/>
    </x:row>
    <x:row r="28">
      <x:c r="A28" s="138"/>
      <x:c r="B28" s="138"/>
      <x:c r="C28" s="138"/>
      <x:c r="D28" s="138"/>
      <x:c r="E28" s="138"/>
      <x:c r="F28" s="138"/>
      <x:c r="G28" s="138"/>
      <x:c r="H28" s="138"/>
      <x:c r="I28" s="138"/>
      <x:c r="J28" s="138"/>
      <x:c r="K28" s="138"/>
      <x:c r="L28" s="138"/>
      <x:c r="M28" s="138"/>
      <x:c r="N28" s="138"/>
      <x:c r="O28" s="138"/>
      <x:c r="P28" s="138"/>
      <x:c r="Q28" s="138"/>
      <x:c r="R28" s="138"/>
      <x:c r="S28" s="138"/>
      <x:c r="T28" s="138"/>
      <x:c r="U28" s="138"/>
      <x:c r="V28" s="138"/>
      <x:c r="W28" s="138"/>
      <x:c r="X28" s="138"/>
      <x:c r="Y28" s="138"/>
      <x:c r="Z28" s="138"/>
    </x:row>
    <x:row r="29">
      <x:c r="A29" s="138"/>
      <x:c r="B29" s="138"/>
      <x:c r="C29" s="138"/>
      <x:c r="D29" s="138"/>
      <x:c r="E29" s="138"/>
      <x:c r="F29" s="138"/>
      <x:c r="G29" s="138"/>
      <x:c r="H29" s="138"/>
      <x:c r="I29" s="138"/>
      <x:c r="J29" s="138"/>
      <x:c r="K29" s="138"/>
      <x:c r="L29" s="138"/>
      <x:c r="M29" s="138"/>
      <x:c r="N29" s="138"/>
      <x:c r="O29" s="138"/>
      <x:c r="P29" s="138"/>
      <x:c r="Q29" s="138"/>
      <x:c r="R29" s="138"/>
      <x:c r="S29" s="138"/>
      <x:c r="T29" s="138"/>
      <x:c r="U29" s="138"/>
      <x:c r="V29" s="138"/>
      <x:c r="W29" s="138"/>
      <x:c r="X29" s="138"/>
      <x:c r="Y29" s="138"/>
      <x:c r="Z29" s="138"/>
    </x:row>
    <x:row r="30">
      <x:c r="A30" s="138"/>
      <x:c r="B30" s="138"/>
      <x:c r="C30" s="138"/>
      <x:c r="D30" s="138"/>
      <x:c r="E30" s="138"/>
      <x:c r="F30" s="138"/>
      <x:c r="G30" s="138"/>
      <x:c r="H30" s="138"/>
      <x:c r="I30" s="138"/>
      <x:c r="J30" s="138"/>
      <x:c r="K30" s="138"/>
      <x:c r="L30" s="138"/>
      <x:c r="M30" s="138"/>
      <x:c r="N30" s="138"/>
      <x:c r="O30" s="138"/>
      <x:c r="P30" s="138"/>
      <x:c r="Q30" s="138"/>
      <x:c r="R30" s="138"/>
      <x:c r="S30" s="138"/>
      <x:c r="T30" s="138"/>
      <x:c r="U30" s="138"/>
      <x:c r="V30" s="138"/>
      <x:c r="W30" s="138"/>
      <x:c r="X30" s="138"/>
      <x:c r="Y30" s="138"/>
      <x:c r="Z30" s="138"/>
    </x:row>
    <x:row r="31">
      <x:c r="A31" s="138"/>
      <x:c r="B31" s="138"/>
      <x:c r="C31" s="138"/>
      <x:c r="D31" s="138"/>
      <x:c r="E31" s="138"/>
      <x:c r="F31" s="138"/>
      <x:c r="G31" s="138"/>
      <x:c r="H31" s="138"/>
      <x:c r="I31" s="138"/>
      <x:c r="J31" s="138"/>
      <x:c r="K31" s="138"/>
      <x:c r="L31" s="138"/>
      <x:c r="M31" s="138"/>
      <x:c r="N31" s="138"/>
      <x:c r="O31" s="138"/>
      <x:c r="P31" s="138"/>
      <x:c r="Q31" s="138"/>
      <x:c r="R31" s="138"/>
      <x:c r="S31" s="138"/>
      <x:c r="T31" s="138"/>
      <x:c r="U31" s="138"/>
      <x:c r="V31" s="138"/>
      <x:c r="W31" s="138"/>
      <x:c r="X31" s="138"/>
      <x:c r="Y31" s="138"/>
      <x:c r="Z31" s="138"/>
    </x:row>
    <x:row r="32">
      <x:c r="A32" s="138"/>
      <x:c r="B32" s="138"/>
      <x:c r="C32" s="138"/>
      <x:c r="D32" s="138"/>
      <x:c r="E32" s="138"/>
      <x:c r="F32" s="138"/>
      <x:c r="G32" s="138"/>
      <x:c r="H32" s="138"/>
      <x:c r="I32" s="138"/>
      <x:c r="J32" s="138"/>
      <x:c r="K32" s="138"/>
      <x:c r="L32" s="138"/>
      <x:c r="M32" s="138"/>
      <x:c r="N32" s="138"/>
      <x:c r="O32" s="138"/>
      <x:c r="P32" s="138"/>
      <x:c r="Q32" s="138"/>
      <x:c r="R32" s="138"/>
      <x:c r="S32" s="138"/>
      <x:c r="T32" s="138"/>
      <x:c r="U32" s="138"/>
      <x:c r="V32" s="138"/>
      <x:c r="W32" s="138"/>
      <x:c r="X32" s="138"/>
      <x:c r="Y32" s="138"/>
      <x:c r="Z32" s="138"/>
    </x:row>
    <x:row r="33">
      <x:c r="A33" s="138"/>
      <x:c r="B33" s="138"/>
      <x:c r="C33" s="138"/>
      <x:c r="D33" s="138"/>
      <x:c r="E33" s="138"/>
      <x:c r="F33" s="138"/>
      <x:c r="G33" s="138"/>
      <x:c r="H33" s="138"/>
      <x:c r="I33" s="138"/>
      <x:c r="J33" s="138"/>
      <x:c r="K33" s="138"/>
      <x:c r="L33" s="138"/>
      <x:c r="M33" s="138"/>
      <x:c r="N33" s="138"/>
      <x:c r="O33" s="138"/>
      <x:c r="P33" s="138"/>
      <x:c r="Q33" s="138"/>
      <x:c r="R33" s="138"/>
      <x:c r="S33" s="138"/>
      <x:c r="T33" s="138"/>
      <x:c r="U33" s="138"/>
      <x:c r="V33" s="138"/>
      <x:c r="W33" s="138"/>
      <x:c r="X33" s="138"/>
      <x:c r="Y33" s="138"/>
      <x:c r="Z33" s="138"/>
    </x:row>
    <x:row r="34">
      <x:c r="A34" s="138"/>
      <x:c r="B34" s="138"/>
      <x:c r="C34" s="138"/>
      <x:c r="D34" s="138"/>
      <x:c r="E34" s="138"/>
      <x:c r="F34" s="138"/>
      <x:c r="G34" s="138"/>
      <x:c r="H34" s="138"/>
      <x:c r="I34" s="138"/>
      <x:c r="J34" s="138"/>
      <x:c r="K34" s="138"/>
      <x:c r="L34" s="138"/>
      <x:c r="M34" s="138"/>
      <x:c r="N34" s="138"/>
      <x:c r="O34" s="138"/>
      <x:c r="P34" s="138"/>
      <x:c r="Q34" s="138"/>
      <x:c r="R34" s="138"/>
      <x:c r="S34" s="138"/>
      <x:c r="T34" s="138"/>
      <x:c r="U34" s="138"/>
      <x:c r="V34" s="138"/>
      <x:c r="W34" s="138"/>
      <x:c r="X34" s="138"/>
      <x:c r="Y34" s="138"/>
      <x:c r="Z34" s="138"/>
    </x:row>
    <x:row r="35">
      <x:c r="A35" s="138"/>
      <x:c r="B35" s="138"/>
      <x:c r="C35" s="138"/>
      <x:c r="D35" s="138"/>
      <x:c r="E35" s="138"/>
      <x:c r="F35" s="138"/>
      <x:c r="G35" s="138"/>
      <x:c r="H35" s="138"/>
      <x:c r="I35" s="138"/>
      <x:c r="J35" s="138"/>
      <x:c r="K35" s="138"/>
      <x:c r="L35" s="138"/>
      <x:c r="M35" s="138"/>
      <x:c r="N35" s="138"/>
      <x:c r="O35" s="138"/>
      <x:c r="P35" s="138"/>
      <x:c r="Q35" s="138"/>
      <x:c r="R35" s="138"/>
      <x:c r="S35" s="138"/>
      <x:c r="T35" s="138"/>
      <x:c r="U35" s="138"/>
      <x:c r="V35" s="138"/>
      <x:c r="W35" s="138"/>
      <x:c r="X35" s="138"/>
      <x:c r="Y35" s="138"/>
      <x:c r="Z35" s="138"/>
    </x:row>
    <x:row r="36">
      <x:c r="A36" s="138"/>
      <x:c r="B36" s="138"/>
      <x:c r="C36" s="138"/>
      <x:c r="D36" s="138"/>
      <x:c r="E36" s="138"/>
      <x:c r="F36" s="138"/>
      <x:c r="G36" s="138"/>
      <x:c r="H36" s="138"/>
      <x:c r="I36" s="138"/>
      <x:c r="J36" s="138"/>
      <x:c r="K36" s="138"/>
      <x:c r="L36" s="138"/>
      <x:c r="M36" s="138"/>
      <x:c r="N36" s="138"/>
      <x:c r="O36" s="138"/>
      <x:c r="P36" s="138"/>
      <x:c r="Q36" s="138"/>
      <x:c r="R36" s="138"/>
      <x:c r="S36" s="138"/>
      <x:c r="T36" s="138"/>
      <x:c r="U36" s="138"/>
      <x:c r="V36" s="138"/>
      <x:c r="W36" s="138"/>
      <x:c r="X36" s="138"/>
      <x:c r="Y36" s="138"/>
      <x:c r="Z36" s="138"/>
    </x:row>
    <x:row r="37">
      <x:c r="A37" s="138"/>
      <x:c r="B37" s="138"/>
      <x:c r="C37" s="138"/>
      <x:c r="D37" s="138"/>
      <x:c r="E37" s="138"/>
      <x:c r="F37" s="138"/>
      <x:c r="G37" s="138"/>
      <x:c r="H37" s="138"/>
      <x:c r="I37" s="138"/>
      <x:c r="J37" s="138"/>
      <x:c r="K37" s="138"/>
      <x:c r="L37" s="138"/>
      <x:c r="M37" s="138"/>
      <x:c r="N37" s="138"/>
      <x:c r="O37" s="138"/>
      <x:c r="P37" s="138"/>
      <x:c r="Q37" s="138"/>
      <x:c r="R37" s="138"/>
      <x:c r="S37" s="138"/>
      <x:c r="T37" s="138"/>
      <x:c r="U37" s="138"/>
      <x:c r="V37" s="138"/>
      <x:c r="W37" s="138"/>
      <x:c r="X37" s="138"/>
      <x:c r="Y37" s="138"/>
      <x:c r="Z37" s="138"/>
    </x:row>
    <x:row r="38">
      <x:c r="A38" s="138"/>
      <x:c r="B38" s="138"/>
      <x:c r="C38" s="138"/>
      <x:c r="D38" s="138"/>
      <x:c r="E38" s="138"/>
      <x:c r="F38" s="138"/>
      <x:c r="G38" s="138"/>
      <x:c r="H38" s="138"/>
      <x:c r="I38" s="138"/>
      <x:c r="J38" s="138"/>
      <x:c r="K38" s="138"/>
      <x:c r="L38" s="138"/>
      <x:c r="M38" s="138"/>
      <x:c r="N38" s="138"/>
      <x:c r="O38" s="138"/>
      <x:c r="P38" s="138"/>
      <x:c r="Q38" s="138"/>
      <x:c r="R38" s="138"/>
      <x:c r="S38" s="138"/>
      <x:c r="T38" s="138"/>
      <x:c r="U38" s="138"/>
      <x:c r="V38" s="138"/>
      <x:c r="W38" s="138"/>
      <x:c r="X38" s="138"/>
      <x:c r="Y38" s="138"/>
      <x:c r="Z38" s="138"/>
    </x:row>
    <x:row r="39">
      <x:c r="A39" s="138"/>
      <x:c r="B39" s="138"/>
      <x:c r="C39" s="138"/>
      <x:c r="D39" s="138"/>
      <x:c r="E39" s="138"/>
      <x:c r="F39" s="138"/>
      <x:c r="G39" s="138"/>
      <x:c r="H39" s="138"/>
      <x:c r="I39" s="138"/>
      <x:c r="J39" s="138"/>
      <x:c r="K39" s="138"/>
      <x:c r="L39" s="138"/>
      <x:c r="M39" s="138"/>
      <x:c r="N39" s="138"/>
      <x:c r="O39" s="138"/>
      <x:c r="P39" s="138"/>
      <x:c r="Q39" s="138"/>
      <x:c r="R39" s="138"/>
      <x:c r="S39" s="138"/>
      <x:c r="T39" s="138"/>
      <x:c r="U39" s="138"/>
      <x:c r="V39" s="138"/>
      <x:c r="W39" s="138"/>
      <x:c r="X39" s="138"/>
      <x:c r="Y39" s="138"/>
      <x:c r="Z39" s="138"/>
    </x:row>
    <x:row r="40">
      <x:c r="A40" s="138"/>
      <x:c r="B40" s="138"/>
      <x:c r="C40" s="138"/>
      <x:c r="D40" s="138"/>
      <x:c r="E40" s="138"/>
      <x:c r="F40" s="138"/>
      <x:c r="G40" s="138"/>
      <x:c r="H40" s="138"/>
      <x:c r="I40" s="138"/>
      <x:c r="J40" s="138"/>
      <x:c r="K40" s="138"/>
      <x:c r="L40" s="138"/>
      <x:c r="M40" s="138"/>
      <x:c r="N40" s="138"/>
      <x:c r="O40" s="138"/>
      <x:c r="P40" s="138"/>
      <x:c r="Q40" s="138"/>
      <x:c r="R40" s="138"/>
      <x:c r="S40" s="138"/>
      <x:c r="T40" s="138"/>
      <x:c r="U40" s="138"/>
      <x:c r="V40" s="138"/>
      <x:c r="W40" s="138"/>
      <x:c r="X40" s="138"/>
      <x:c r="Y40" s="138"/>
      <x:c r="Z40" s="138"/>
    </x:row>
    <x:row r="41">
      <x:c r="A41" s="138"/>
      <x:c r="B41" s="138"/>
      <x:c r="C41" s="138"/>
      <x:c r="D41" s="138"/>
      <x:c r="E41" s="138"/>
      <x:c r="F41" s="138"/>
      <x:c r="G41" s="138"/>
      <x:c r="H41" s="138"/>
      <x:c r="I41" s="138"/>
      <x:c r="J41" s="138"/>
      <x:c r="K41" s="138"/>
      <x:c r="L41" s="138"/>
      <x:c r="M41" s="138"/>
      <x:c r="N41" s="138"/>
      <x:c r="O41" s="138"/>
      <x:c r="P41" s="138"/>
      <x:c r="Q41" s="138"/>
      <x:c r="R41" s="138"/>
      <x:c r="S41" s="138"/>
      <x:c r="T41" s="138"/>
      <x:c r="U41" s="138"/>
      <x:c r="V41" s="138"/>
      <x:c r="W41" s="138"/>
      <x:c r="X41" s="138"/>
      <x:c r="Y41" s="138"/>
      <x:c r="Z41" s="138"/>
    </x:row>
    <x:row r="42">
      <x:c r="A42" s="138"/>
      <x:c r="B42" s="138"/>
      <x:c r="C42" s="138"/>
      <x:c r="D42" s="138"/>
      <x:c r="E42" s="138"/>
      <x:c r="F42" s="138"/>
      <x:c r="G42" s="138"/>
      <x:c r="H42" s="138"/>
      <x:c r="I42" s="138"/>
      <x:c r="J42" s="138"/>
      <x:c r="K42" s="138"/>
      <x:c r="L42" s="138"/>
      <x:c r="M42" s="138"/>
      <x:c r="N42" s="138"/>
      <x:c r="O42" s="138"/>
      <x:c r="P42" s="138"/>
      <x:c r="Q42" s="138"/>
      <x:c r="R42" s="138"/>
      <x:c r="S42" s="138"/>
      <x:c r="T42" s="138"/>
      <x:c r="U42" s="138"/>
      <x:c r="V42" s="138"/>
      <x:c r="W42" s="138"/>
      <x:c r="X42" s="138"/>
      <x:c r="Y42" s="138"/>
      <x:c r="Z42" s="138"/>
    </x:row>
    <x:row r="43">
      <x:c r="A43" s="138"/>
      <x:c r="B43" s="138"/>
      <x:c r="C43" s="138"/>
      <x:c r="D43" s="138"/>
      <x:c r="E43" s="138"/>
      <x:c r="F43" s="138"/>
      <x:c r="G43" s="138"/>
      <x:c r="H43" s="138"/>
      <x:c r="I43" s="138"/>
      <x:c r="J43" s="138"/>
      <x:c r="K43" s="138"/>
      <x:c r="L43" s="138"/>
      <x:c r="M43" s="138"/>
      <x:c r="N43" s="138"/>
      <x:c r="O43" s="138"/>
      <x:c r="P43" s="138"/>
      <x:c r="Q43" s="138"/>
      <x:c r="R43" s="138"/>
      <x:c r="S43" s="138"/>
      <x:c r="T43" s="138"/>
      <x:c r="U43" s="138"/>
      <x:c r="V43" s="138"/>
      <x:c r="W43" s="138"/>
      <x:c r="X43" s="138"/>
      <x:c r="Y43" s="138"/>
      <x:c r="Z43" s="138"/>
    </x:row>
    <x:row r="44">
      <x:c r="A44" s="138"/>
      <x:c r="B44" s="138"/>
      <x:c r="C44" s="138"/>
      <x:c r="D44" s="138"/>
      <x:c r="E44" s="138"/>
      <x:c r="F44" s="138"/>
      <x:c r="G44" s="138"/>
      <x:c r="H44" s="138"/>
      <x:c r="I44" s="138"/>
      <x:c r="J44" s="138"/>
      <x:c r="K44" s="138"/>
      <x:c r="L44" s="138"/>
      <x:c r="M44" s="138"/>
      <x:c r="N44" s="138"/>
      <x:c r="O44" s="138"/>
      <x:c r="P44" s="138"/>
      <x:c r="Q44" s="138"/>
      <x:c r="R44" s="138"/>
      <x:c r="S44" s="138"/>
      <x:c r="T44" s="138"/>
      <x:c r="U44" s="138"/>
      <x:c r="V44" s="138"/>
      <x:c r="W44" s="138"/>
      <x:c r="X44" s="138"/>
      <x:c r="Y44" s="138"/>
      <x:c r="Z44" s="138"/>
    </x:row>
    <x:row r="45">
      <x:c r="A45" s="138"/>
      <x:c r="B45" s="138"/>
      <x:c r="C45" s="138"/>
      <x:c r="D45" s="138"/>
      <x:c r="E45" s="138"/>
      <x:c r="F45" s="138"/>
      <x:c r="G45" s="138"/>
      <x:c r="H45" s="138"/>
      <x:c r="I45" s="138"/>
      <x:c r="J45" s="138"/>
      <x:c r="K45" s="138"/>
      <x:c r="L45" s="138"/>
      <x:c r="M45" s="138"/>
      <x:c r="N45" s="138"/>
      <x:c r="O45" s="138"/>
      <x:c r="P45" s="138"/>
      <x:c r="Q45" s="138"/>
      <x:c r="R45" s="138"/>
      <x:c r="S45" s="138"/>
      <x:c r="T45" s="138"/>
      <x:c r="U45" s="138"/>
      <x:c r="V45" s="138"/>
      <x:c r="W45" s="138"/>
      <x:c r="X45" s="138"/>
      <x:c r="Y45" s="138"/>
      <x:c r="Z45" s="138"/>
    </x:row>
    <x:row r="46">
      <x:c r="A46" s="138"/>
      <x:c r="B46" s="138"/>
      <x:c r="C46" s="138"/>
      <x:c r="D46" s="138"/>
      <x:c r="E46" s="138"/>
      <x:c r="F46" s="138"/>
      <x:c r="G46" s="138"/>
      <x:c r="H46" s="138"/>
      <x:c r="I46" s="138"/>
      <x:c r="J46" s="138"/>
      <x:c r="K46" s="138"/>
      <x:c r="L46" s="138"/>
      <x:c r="M46" s="138"/>
      <x:c r="N46" s="138"/>
      <x:c r="O46" s="138"/>
      <x:c r="P46" s="138"/>
      <x:c r="Q46" s="138"/>
      <x:c r="R46" s="138"/>
      <x:c r="S46" s="138"/>
      <x:c r="T46" s="138"/>
      <x:c r="U46" s="138"/>
      <x:c r="V46" s="138"/>
      <x:c r="W46" s="138"/>
      <x:c r="X46" s="138"/>
      <x:c r="Y46" s="138"/>
      <x:c r="Z46" s="138"/>
    </x:row>
    <x:row r="47">
      <x:c r="A47" s="138"/>
      <x:c r="B47" s="138"/>
      <x:c r="C47" s="138"/>
      <x:c r="D47" s="138"/>
      <x:c r="E47" s="138"/>
      <x:c r="F47" s="138"/>
      <x:c r="G47" s="138"/>
      <x:c r="H47" s="138"/>
      <x:c r="I47" s="138"/>
      <x:c r="J47" s="138"/>
      <x:c r="K47" s="138"/>
      <x:c r="L47" s="138"/>
      <x:c r="M47" s="138"/>
      <x:c r="N47" s="138"/>
      <x:c r="O47" s="138"/>
      <x:c r="P47" s="138"/>
      <x:c r="Q47" s="138"/>
      <x:c r="R47" s="138"/>
      <x:c r="S47" s="138"/>
      <x:c r="T47" s="138"/>
      <x:c r="U47" s="138"/>
      <x:c r="V47" s="138"/>
      <x:c r="W47" s="138"/>
      <x:c r="X47" s="138"/>
      <x:c r="Y47" s="138"/>
      <x:c r="Z47" s="138"/>
    </x:row>
    <x:row r="48">
      <x:c r="A48" s="138"/>
      <x:c r="B48" s="138"/>
      <x:c r="C48" s="138"/>
      <x:c r="D48" s="138"/>
      <x:c r="E48" s="138"/>
      <x:c r="F48" s="138"/>
      <x:c r="G48" s="138"/>
      <x:c r="H48" s="138"/>
      <x:c r="I48" s="138"/>
      <x:c r="J48" s="138"/>
      <x:c r="K48" s="138"/>
      <x:c r="L48" s="138"/>
      <x:c r="M48" s="138"/>
      <x:c r="N48" s="138"/>
      <x:c r="O48" s="138"/>
      <x:c r="P48" s="138"/>
      <x:c r="Q48" s="138"/>
      <x:c r="R48" s="138"/>
      <x:c r="S48" s="138"/>
      <x:c r="T48" s="138"/>
      <x:c r="U48" s="138"/>
      <x:c r="V48" s="138"/>
      <x:c r="W48" s="138"/>
      <x:c r="X48" s="138"/>
      <x:c r="Y48" s="138"/>
      <x:c r="Z48" s="138"/>
    </x:row>
    <x:row r="49">
      <x:c r="A49" s="138"/>
      <x:c r="B49" s="138"/>
      <x:c r="C49" s="138"/>
      <x:c r="D49" s="138"/>
      <x:c r="E49" s="138"/>
      <x:c r="F49" s="138"/>
      <x:c r="G49" s="138"/>
      <x:c r="H49" s="138"/>
      <x:c r="I49" s="138"/>
      <x:c r="J49" s="138"/>
      <x:c r="K49" s="138"/>
      <x:c r="L49" s="138"/>
      <x:c r="M49" s="138"/>
      <x:c r="N49" s="138"/>
      <x:c r="O49" s="138"/>
      <x:c r="P49" s="138"/>
      <x:c r="Q49" s="138"/>
      <x:c r="R49" s="138"/>
      <x:c r="S49" s="138"/>
      <x:c r="T49" s="138"/>
      <x:c r="U49" s="138"/>
      <x:c r="V49" s="138"/>
      <x:c r="W49" s="138"/>
      <x:c r="X49" s="138"/>
      <x:c r="Y49" s="138"/>
      <x:c r="Z49" s="138"/>
    </x:row>
    <x:row r="50">
      <x:c r="A50" s="138"/>
      <x:c r="B50" s="138"/>
      <x:c r="C50" s="138"/>
      <x:c r="D50" s="138"/>
      <x:c r="E50" s="138"/>
      <x:c r="F50" s="138"/>
      <x:c r="G50" s="138"/>
      <x:c r="H50" s="138"/>
      <x:c r="I50" s="138"/>
      <x:c r="J50" s="138"/>
      <x:c r="K50" s="138"/>
      <x:c r="L50" s="138"/>
      <x:c r="M50" s="138"/>
      <x:c r="N50" s="138"/>
      <x:c r="O50" s="138"/>
      <x:c r="P50" s="138"/>
      <x:c r="Q50" s="138"/>
      <x:c r="R50" s="138"/>
      <x:c r="S50" s="138"/>
      <x:c r="T50" s="138"/>
      <x:c r="U50" s="138"/>
      <x:c r="V50" s="138"/>
      <x:c r="W50" s="138"/>
      <x:c r="X50" s="138"/>
      <x:c r="Y50" s="138"/>
      <x:c r="Z50" s="138"/>
    </x:row>
    <x:row r="51">
      <x:c r="A51" s="138"/>
      <x:c r="B51" s="138"/>
      <x:c r="C51" s="138"/>
      <x:c r="D51" s="138"/>
      <x:c r="E51" s="138"/>
      <x:c r="F51" s="138"/>
      <x:c r="G51" s="138"/>
      <x:c r="H51" s="138"/>
      <x:c r="I51" s="138"/>
      <x:c r="J51" s="138"/>
      <x:c r="K51" s="138"/>
      <x:c r="L51" s="138"/>
      <x:c r="M51" s="138"/>
      <x:c r="N51" s="138"/>
      <x:c r="O51" s="138"/>
      <x:c r="P51" s="138"/>
      <x:c r="Q51" s="138"/>
      <x:c r="R51" s="138"/>
      <x:c r="S51" s="138"/>
      <x:c r="T51" s="138"/>
      <x:c r="U51" s="138"/>
      <x:c r="V51" s="138"/>
      <x:c r="W51" s="138"/>
      <x:c r="X51" s="138"/>
      <x:c r="Y51" s="138"/>
      <x:c r="Z51" s="138"/>
    </x:row>
    <x:row r="52">
      <x:c r="A52" s="138"/>
      <x:c r="B52" s="138"/>
      <x:c r="C52" s="138"/>
      <x:c r="D52" s="138"/>
      <x:c r="E52" s="138"/>
      <x:c r="F52" s="138"/>
      <x:c r="G52" s="138"/>
      <x:c r="H52" s="138"/>
      <x:c r="I52" s="138"/>
      <x:c r="J52" s="138"/>
      <x:c r="K52" s="138"/>
      <x:c r="L52" s="138"/>
      <x:c r="M52" s="138"/>
      <x:c r="N52" s="138"/>
      <x:c r="O52" s="138"/>
      <x:c r="P52" s="138"/>
      <x:c r="Q52" s="138"/>
      <x:c r="R52" s="138"/>
      <x:c r="S52" s="138"/>
      <x:c r="T52" s="138"/>
      <x:c r="U52" s="138"/>
      <x:c r="V52" s="138"/>
      <x:c r="W52" s="138"/>
      <x:c r="X52" s="138"/>
      <x:c r="Y52" s="138"/>
      <x:c r="Z52" s="138"/>
    </x:row>
    <x:row r="53">
      <x:c r="A53" s="138"/>
      <x:c r="B53" s="138"/>
      <x:c r="C53" s="138"/>
      <x:c r="D53" s="138"/>
      <x:c r="E53" s="138"/>
      <x:c r="F53" s="138"/>
      <x:c r="G53" s="138"/>
      <x:c r="H53" s="138"/>
      <x:c r="I53" s="138"/>
      <x:c r="J53" s="138"/>
      <x:c r="K53" s="138"/>
      <x:c r="L53" s="138"/>
      <x:c r="M53" s="138"/>
      <x:c r="N53" s="138"/>
      <x:c r="O53" s="138"/>
      <x:c r="P53" s="138"/>
      <x:c r="Q53" s="138"/>
      <x:c r="R53" s="138"/>
      <x:c r="S53" s="138"/>
      <x:c r="T53" s="138"/>
      <x:c r="U53" s="138"/>
      <x:c r="V53" s="138"/>
      <x:c r="W53" s="138"/>
      <x:c r="X53" s="138"/>
      <x:c r="Y53" s="138"/>
      <x:c r="Z53" s="138"/>
    </x:row>
    <x:row r="54">
      <x:c r="A54" s="138"/>
      <x:c r="B54" s="138"/>
      <x:c r="C54" s="138"/>
      <x:c r="D54" s="138"/>
      <x:c r="E54" s="138"/>
      <x:c r="F54" s="138"/>
      <x:c r="G54" s="138"/>
      <x:c r="H54" s="138"/>
      <x:c r="I54" s="138"/>
      <x:c r="J54" s="138"/>
      <x:c r="K54" s="138"/>
      <x:c r="L54" s="138"/>
      <x:c r="M54" s="138"/>
      <x:c r="N54" s="138"/>
      <x:c r="O54" s="138"/>
      <x:c r="P54" s="138"/>
      <x:c r="Q54" s="138"/>
      <x:c r="R54" s="138"/>
      <x:c r="S54" s="138"/>
      <x:c r="T54" s="138"/>
      <x:c r="U54" s="138"/>
      <x:c r="V54" s="138"/>
      <x:c r="W54" s="138"/>
      <x:c r="X54" s="138"/>
      <x:c r="Y54" s="138"/>
      <x:c r="Z54" s="138"/>
    </x:row>
    <x:row r="55">
      <x:c r="A55" s="138"/>
      <x:c r="B55" s="138"/>
      <x:c r="C55" s="138"/>
      <x:c r="D55" s="138"/>
      <x:c r="E55" s="138"/>
      <x:c r="F55" s="138"/>
      <x:c r="G55" s="138"/>
      <x:c r="H55" s="138"/>
      <x:c r="I55" s="138"/>
      <x:c r="J55" s="138"/>
      <x:c r="K55" s="138"/>
      <x:c r="L55" s="138"/>
      <x:c r="M55" s="138"/>
      <x:c r="N55" s="138"/>
      <x:c r="O55" s="138"/>
      <x:c r="P55" s="138"/>
      <x:c r="Q55" s="138"/>
      <x:c r="R55" s="138"/>
      <x:c r="S55" s="138"/>
      <x:c r="T55" s="138"/>
      <x:c r="U55" s="138"/>
      <x:c r="V55" s="138"/>
      <x:c r="W55" s="138"/>
      <x:c r="X55" s="138"/>
      <x:c r="Y55" s="138"/>
      <x:c r="Z55" s="138"/>
    </x:row>
    <x:row r="56">
      <x:c r="A56" s="138"/>
      <x:c r="B56" s="138"/>
      <x:c r="C56" s="138"/>
      <x:c r="D56" s="138"/>
      <x:c r="E56" s="138"/>
      <x:c r="F56" s="138"/>
      <x:c r="G56" s="138"/>
      <x:c r="H56" s="138"/>
      <x:c r="I56" s="138"/>
      <x:c r="J56" s="138"/>
      <x:c r="K56" s="138"/>
      <x:c r="L56" s="138"/>
      <x:c r="M56" s="138"/>
      <x:c r="N56" s="138"/>
      <x:c r="O56" s="138"/>
      <x:c r="P56" s="138"/>
      <x:c r="Q56" s="138"/>
      <x:c r="R56" s="138"/>
      <x:c r="S56" s="138"/>
      <x:c r="T56" s="138"/>
      <x:c r="U56" s="138"/>
      <x:c r="V56" s="138"/>
      <x:c r="W56" s="138"/>
      <x:c r="X56" s="138"/>
      <x:c r="Y56" s="138"/>
      <x:c r="Z56" s="138"/>
    </x:row>
    <x:row r="57">
      <x:c r="A57" s="138"/>
      <x:c r="B57" s="138"/>
      <x:c r="C57" s="138"/>
      <x:c r="D57" s="138"/>
      <x:c r="E57" s="138"/>
      <x:c r="F57" s="138"/>
      <x:c r="G57" s="138"/>
      <x:c r="H57" s="138"/>
      <x:c r="I57" s="138"/>
      <x:c r="J57" s="138"/>
      <x:c r="K57" s="138"/>
      <x:c r="L57" s="138"/>
      <x:c r="M57" s="138"/>
      <x:c r="N57" s="138"/>
      <x:c r="O57" s="138"/>
      <x:c r="P57" s="138"/>
      <x:c r="Q57" s="138"/>
      <x:c r="R57" s="138"/>
      <x:c r="S57" s="138"/>
      <x:c r="T57" s="138"/>
      <x:c r="U57" s="138"/>
      <x:c r="V57" s="138"/>
      <x:c r="W57" s="138"/>
      <x:c r="X57" s="138"/>
      <x:c r="Y57" s="138"/>
      <x:c r="Z57" s="138"/>
    </x:row>
    <x:row r="58">
      <x:c r="A58" s="138"/>
      <x:c r="B58" s="138"/>
      <x:c r="C58" s="138"/>
      <x:c r="D58" s="138"/>
      <x:c r="E58" s="138"/>
      <x:c r="F58" s="138"/>
      <x:c r="G58" s="138"/>
      <x:c r="H58" s="138"/>
      <x:c r="I58" s="138"/>
      <x:c r="J58" s="138"/>
      <x:c r="K58" s="138"/>
      <x:c r="L58" s="138"/>
      <x:c r="M58" s="138"/>
      <x:c r="N58" s="138"/>
      <x:c r="O58" s="138"/>
      <x:c r="P58" s="138"/>
      <x:c r="Q58" s="138"/>
      <x:c r="R58" s="138"/>
      <x:c r="S58" s="138"/>
      <x:c r="T58" s="138"/>
      <x:c r="U58" s="138"/>
      <x:c r="V58" s="138"/>
      <x:c r="W58" s="138"/>
      <x:c r="X58" s="138"/>
      <x:c r="Y58" s="138"/>
      <x:c r="Z58" s="138"/>
    </x:row>
    <x:row r="59">
      <x:c r="A59" s="138"/>
      <x:c r="B59" s="138"/>
      <x:c r="C59" s="138"/>
      <x:c r="D59" s="138"/>
      <x:c r="E59" s="138"/>
      <x:c r="F59" s="138"/>
      <x:c r="G59" s="138"/>
      <x:c r="H59" s="138"/>
      <x:c r="I59" s="138"/>
      <x:c r="J59" s="138"/>
      <x:c r="K59" s="138"/>
      <x:c r="L59" s="138"/>
      <x:c r="M59" s="138"/>
      <x:c r="N59" s="138"/>
      <x:c r="O59" s="138"/>
      <x:c r="P59" s="138"/>
      <x:c r="Q59" s="138"/>
      <x:c r="R59" s="138"/>
      <x:c r="S59" s="138"/>
      <x:c r="T59" s="138"/>
      <x:c r="U59" s="138"/>
      <x:c r="V59" s="138"/>
      <x:c r="W59" s="138"/>
      <x:c r="X59" s="138"/>
      <x:c r="Y59" s="138"/>
      <x:c r="Z59" s="138"/>
    </x:row>
    <x:row r="60">
      <x:c r="A60" s="138"/>
      <x:c r="B60" s="138"/>
      <x:c r="C60" s="138"/>
      <x:c r="D60" s="138"/>
      <x:c r="E60" s="138"/>
      <x:c r="F60" s="138"/>
      <x:c r="G60" s="138"/>
      <x:c r="H60" s="138"/>
      <x:c r="I60" s="138"/>
      <x:c r="J60" s="138"/>
      <x:c r="K60" s="138"/>
      <x:c r="L60" s="138"/>
      <x:c r="M60" s="138"/>
      <x:c r="N60" s="138"/>
      <x:c r="O60" s="138"/>
      <x:c r="P60" s="138"/>
      <x:c r="Q60" s="138"/>
      <x:c r="R60" s="138"/>
      <x:c r="S60" s="138"/>
      <x:c r="T60" s="138"/>
      <x:c r="U60" s="138"/>
      <x:c r="V60" s="138"/>
      <x:c r="W60" s="138"/>
      <x:c r="X60" s="138"/>
      <x:c r="Y60" s="138"/>
      <x:c r="Z60" s="138"/>
    </x:row>
    <x:row r="61">
      <x:c r="A61" s="138"/>
      <x:c r="B61" s="138"/>
      <x:c r="C61" s="138"/>
      <x:c r="D61" s="138"/>
      <x:c r="E61" s="138"/>
      <x:c r="F61" s="138"/>
      <x:c r="G61" s="138"/>
      <x:c r="H61" s="138"/>
      <x:c r="I61" s="138"/>
      <x:c r="J61" s="138"/>
      <x:c r="K61" s="138"/>
      <x:c r="L61" s="138"/>
      <x:c r="M61" s="138"/>
      <x:c r="N61" s="138"/>
      <x:c r="O61" s="138"/>
      <x:c r="P61" s="138"/>
      <x:c r="Q61" s="138"/>
      <x:c r="R61" s="138"/>
      <x:c r="S61" s="138"/>
      <x:c r="T61" s="138"/>
      <x:c r="U61" s="138"/>
      <x:c r="V61" s="138"/>
      <x:c r="W61" s="138"/>
      <x:c r="X61" s="138"/>
      <x:c r="Y61" s="138"/>
      <x:c r="Z61" s="138"/>
    </x:row>
    <x:row r="62">
      <x:c r="A62" s="138"/>
      <x:c r="B62" s="138"/>
      <x:c r="C62" s="138"/>
      <x:c r="D62" s="138"/>
      <x:c r="E62" s="138"/>
      <x:c r="F62" s="138"/>
      <x:c r="G62" s="138"/>
      <x:c r="H62" s="138"/>
      <x:c r="I62" s="138"/>
      <x:c r="J62" s="138"/>
      <x:c r="K62" s="138"/>
      <x:c r="L62" s="138"/>
      <x:c r="M62" s="138"/>
      <x:c r="N62" s="138"/>
      <x:c r="O62" s="138"/>
      <x:c r="P62" s="138"/>
      <x:c r="Q62" s="138"/>
      <x:c r="R62" s="138"/>
      <x:c r="S62" s="138"/>
      <x:c r="T62" s="138"/>
      <x:c r="U62" s="138"/>
      <x:c r="V62" s="138"/>
      <x:c r="W62" s="138"/>
      <x:c r="X62" s="138"/>
      <x:c r="Y62" s="138"/>
      <x:c r="Z62" s="138"/>
    </x:row>
    <x:row r="63">
      <x:c r="A63" s="138"/>
      <x:c r="B63" s="138"/>
      <x:c r="C63" s="138"/>
      <x:c r="D63" s="138"/>
      <x:c r="E63" s="138"/>
      <x:c r="F63" s="138"/>
      <x:c r="G63" s="138"/>
      <x:c r="H63" s="138"/>
      <x:c r="I63" s="138"/>
      <x:c r="J63" s="138"/>
      <x:c r="K63" s="138"/>
      <x:c r="L63" s="138"/>
      <x:c r="M63" s="138"/>
      <x:c r="N63" s="138"/>
      <x:c r="O63" s="138"/>
      <x:c r="P63" s="138"/>
      <x:c r="Q63" s="138"/>
      <x:c r="R63" s="138"/>
      <x:c r="S63" s="138"/>
      <x:c r="T63" s="138"/>
      <x:c r="U63" s="138"/>
      <x:c r="V63" s="138"/>
      <x:c r="W63" s="138"/>
      <x:c r="X63" s="138"/>
      <x:c r="Y63" s="138"/>
      <x:c r="Z63" s="138"/>
    </x:row>
    <x:row r="64">
      <x:c r="A64" s="138"/>
      <x:c r="B64" s="138"/>
      <x:c r="C64" s="138"/>
      <x:c r="D64" s="138"/>
      <x:c r="E64" s="138"/>
      <x:c r="F64" s="138"/>
      <x:c r="G64" s="138"/>
      <x:c r="H64" s="138"/>
      <x:c r="I64" s="138"/>
      <x:c r="J64" s="138"/>
      <x:c r="K64" s="138"/>
      <x:c r="L64" s="138"/>
      <x:c r="M64" s="138"/>
      <x:c r="N64" s="138"/>
      <x:c r="O64" s="138"/>
      <x:c r="P64" s="138"/>
      <x:c r="Q64" s="138"/>
      <x:c r="R64" s="138"/>
      <x:c r="S64" s="138"/>
      <x:c r="T64" s="138"/>
      <x:c r="U64" s="138"/>
      <x:c r="V64" s="138"/>
      <x:c r="W64" s="138"/>
      <x:c r="X64" s="138"/>
      <x:c r="Y64" s="138"/>
      <x:c r="Z64" s="138"/>
    </x:row>
    <x:row r="65">
      <x:c r="A65" s="138"/>
      <x:c r="B65" s="138"/>
      <x:c r="C65" s="138"/>
      <x:c r="D65" s="138"/>
      <x:c r="E65" s="138"/>
      <x:c r="F65" s="138"/>
      <x:c r="G65" s="138"/>
      <x:c r="H65" s="138"/>
      <x:c r="I65" s="138"/>
      <x:c r="J65" s="138"/>
      <x:c r="K65" s="138"/>
      <x:c r="L65" s="138"/>
      <x:c r="M65" s="138"/>
      <x:c r="N65" s="138"/>
      <x:c r="O65" s="138"/>
      <x:c r="P65" s="138"/>
      <x:c r="Q65" s="138"/>
      <x:c r="R65" s="138"/>
      <x:c r="S65" s="138"/>
      <x:c r="T65" s="138"/>
      <x:c r="U65" s="138"/>
      <x:c r="V65" s="138"/>
      <x:c r="W65" s="138"/>
      <x:c r="X65" s="138"/>
      <x:c r="Y65" s="138"/>
      <x:c r="Z65" s="138"/>
    </x:row>
    <x:row r="66">
      <x:c r="A66" s="138"/>
      <x:c r="B66" s="138"/>
      <x:c r="C66" s="138"/>
      <x:c r="D66" s="138"/>
      <x:c r="E66" s="138"/>
      <x:c r="F66" s="138"/>
      <x:c r="G66" s="138"/>
      <x:c r="H66" s="138"/>
      <x:c r="I66" s="138"/>
      <x:c r="J66" s="138"/>
      <x:c r="K66" s="138"/>
      <x:c r="L66" s="138"/>
      <x:c r="M66" s="138"/>
      <x:c r="N66" s="138"/>
      <x:c r="O66" s="138"/>
      <x:c r="P66" s="138"/>
      <x:c r="Q66" s="138"/>
      <x:c r="R66" s="138"/>
      <x:c r="S66" s="138"/>
      <x:c r="T66" s="138"/>
      <x:c r="U66" s="138"/>
      <x:c r="V66" s="138"/>
      <x:c r="W66" s="138"/>
      <x:c r="X66" s="138"/>
      <x:c r="Y66" s="138"/>
      <x:c r="Z66" s="138"/>
    </x:row>
    <x:row r="67">
      <x:c r="A67" s="138"/>
      <x:c r="B67" s="138"/>
      <x:c r="C67" s="138"/>
      <x:c r="D67" s="138"/>
      <x:c r="E67" s="138"/>
      <x:c r="F67" s="138"/>
      <x:c r="G67" s="138"/>
      <x:c r="H67" s="138"/>
      <x:c r="I67" s="138"/>
      <x:c r="J67" s="138"/>
      <x:c r="K67" s="138"/>
      <x:c r="L67" s="138"/>
      <x:c r="M67" s="138"/>
      <x:c r="N67" s="138"/>
      <x:c r="O67" s="138"/>
      <x:c r="P67" s="138"/>
      <x:c r="Q67" s="138"/>
      <x:c r="R67" s="138"/>
      <x:c r="S67" s="138"/>
      <x:c r="T67" s="138"/>
      <x:c r="U67" s="138"/>
      <x:c r="V67" s="138"/>
      <x:c r="W67" s="138"/>
      <x:c r="X67" s="138"/>
      <x:c r="Y67" s="138"/>
      <x:c r="Z67" s="138"/>
    </x:row>
    <x:row r="68">
      <x:c r="A68" s="138"/>
      <x:c r="B68" s="138"/>
      <x:c r="C68" s="138"/>
      <x:c r="D68" s="138"/>
      <x:c r="E68" s="138"/>
      <x:c r="F68" s="138"/>
      <x:c r="G68" s="138"/>
      <x:c r="H68" s="138"/>
      <x:c r="I68" s="138"/>
      <x:c r="J68" s="138"/>
      <x:c r="K68" s="138"/>
      <x:c r="L68" s="138"/>
      <x:c r="M68" s="138"/>
      <x:c r="N68" s="138"/>
      <x:c r="O68" s="138"/>
      <x:c r="P68" s="138"/>
      <x:c r="Q68" s="138"/>
      <x:c r="R68" s="138"/>
      <x:c r="S68" s="138"/>
      <x:c r="T68" s="138"/>
      <x:c r="U68" s="138"/>
      <x:c r="V68" s="138"/>
      <x:c r="W68" s="138"/>
      <x:c r="X68" s="138"/>
      <x:c r="Y68" s="138"/>
      <x:c r="Z68" s="138"/>
    </x:row>
    <x:row r="69">
      <x:c r="A69" s="138"/>
      <x:c r="B69" s="138"/>
      <x:c r="C69" s="138"/>
      <x:c r="D69" s="138"/>
      <x:c r="E69" s="138"/>
      <x:c r="F69" s="138"/>
      <x:c r="G69" s="138"/>
      <x:c r="H69" s="138"/>
      <x:c r="I69" s="138"/>
      <x:c r="J69" s="138"/>
      <x:c r="K69" s="138"/>
      <x:c r="L69" s="138"/>
      <x:c r="M69" s="138"/>
      <x:c r="N69" s="138"/>
      <x:c r="O69" s="138"/>
      <x:c r="P69" s="138"/>
      <x:c r="Q69" s="138"/>
      <x:c r="R69" s="138"/>
      <x:c r="S69" s="138"/>
      <x:c r="T69" s="138"/>
      <x:c r="U69" s="138"/>
      <x:c r="V69" s="138"/>
      <x:c r="W69" s="138"/>
      <x:c r="X69" s="138"/>
      <x:c r="Y69" s="138"/>
      <x:c r="Z69" s="138"/>
    </x:row>
    <x:row r="70">
      <x:c r="A70" s="138"/>
      <x:c r="B70" s="138"/>
      <x:c r="C70" s="138"/>
      <x:c r="D70" s="138"/>
      <x:c r="E70" s="138"/>
      <x:c r="F70" s="138"/>
      <x:c r="G70" s="138"/>
      <x:c r="H70" s="138"/>
      <x:c r="I70" s="138"/>
      <x:c r="J70" s="138"/>
      <x:c r="K70" s="138"/>
      <x:c r="L70" s="138"/>
      <x:c r="M70" s="138"/>
      <x:c r="N70" s="138"/>
      <x:c r="O70" s="138"/>
      <x:c r="P70" s="138"/>
      <x:c r="Q70" s="138"/>
      <x:c r="R70" s="138"/>
      <x:c r="S70" s="138"/>
      <x:c r="T70" s="138"/>
      <x:c r="U70" s="138"/>
      <x:c r="V70" s="138"/>
      <x:c r="W70" s="138"/>
      <x:c r="X70" s="138"/>
      <x:c r="Y70" s="138"/>
      <x:c r="Z70" s="138"/>
    </x:row>
    <x:row r="71">
      <x:c r="A71" s="138"/>
      <x:c r="B71" s="138"/>
      <x:c r="C71" s="138"/>
      <x:c r="D71" s="138"/>
      <x:c r="E71" s="138"/>
      <x:c r="F71" s="138"/>
      <x:c r="G71" s="138"/>
      <x:c r="H71" s="138"/>
      <x:c r="I71" s="138"/>
      <x:c r="J71" s="138"/>
      <x:c r="K71" s="138"/>
      <x:c r="L71" s="138"/>
      <x:c r="M71" s="138"/>
      <x:c r="N71" s="138"/>
      <x:c r="O71" s="138"/>
      <x:c r="P71" s="138"/>
      <x:c r="Q71" s="138"/>
      <x:c r="R71" s="138"/>
      <x:c r="S71" s="138"/>
      <x:c r="T71" s="138"/>
      <x:c r="U71" s="138"/>
      <x:c r="V71" s="138"/>
      <x:c r="W71" s="138"/>
      <x:c r="X71" s="138"/>
      <x:c r="Y71" s="138"/>
      <x:c r="Z71" s="138"/>
    </x:row>
    <x:row r="72">
      <x:c r="A72" s="138"/>
      <x:c r="B72" s="138"/>
      <x:c r="C72" s="138"/>
      <x:c r="D72" s="138"/>
      <x:c r="E72" s="138"/>
      <x:c r="F72" s="138"/>
      <x:c r="G72" s="138"/>
      <x:c r="H72" s="138"/>
      <x:c r="I72" s="138"/>
      <x:c r="J72" s="138"/>
      <x:c r="K72" s="138"/>
      <x:c r="L72" s="138"/>
      <x:c r="M72" s="138"/>
      <x:c r="N72" s="138"/>
      <x:c r="O72" s="138"/>
      <x:c r="P72" s="138"/>
      <x:c r="Q72" s="138"/>
      <x:c r="R72" s="138"/>
      <x:c r="S72" s="138"/>
      <x:c r="T72" s="138"/>
      <x:c r="U72" s="138"/>
      <x:c r="V72" s="138"/>
      <x:c r="W72" s="138"/>
      <x:c r="X72" s="138"/>
      <x:c r="Y72" s="138"/>
      <x:c r="Z72" s="138"/>
    </x:row>
    <x:row r="73">
      <x:c r="A73" s="138"/>
      <x:c r="B73" s="138"/>
      <x:c r="C73" s="138"/>
      <x:c r="D73" s="138"/>
      <x:c r="E73" s="138"/>
      <x:c r="F73" s="138"/>
      <x:c r="G73" s="138"/>
      <x:c r="H73" s="138"/>
      <x:c r="I73" s="138"/>
      <x:c r="J73" s="138"/>
      <x:c r="K73" s="138"/>
      <x:c r="L73" s="138"/>
      <x:c r="M73" s="138"/>
      <x:c r="N73" s="138"/>
      <x:c r="O73" s="138"/>
      <x:c r="P73" s="138"/>
      <x:c r="Q73" s="138"/>
      <x:c r="R73" s="138"/>
      <x:c r="S73" s="138"/>
      <x:c r="T73" s="138"/>
      <x:c r="U73" s="138"/>
      <x:c r="V73" s="138"/>
      <x:c r="W73" s="138"/>
      <x:c r="X73" s="138"/>
      <x:c r="Y73" s="138"/>
      <x:c r="Z73" s="138"/>
    </x:row>
    <x:row r="74">
      <x:c r="A74" s="138"/>
      <x:c r="B74" s="138"/>
      <x:c r="C74" s="138"/>
      <x:c r="D74" s="138"/>
      <x:c r="E74" s="138"/>
      <x:c r="F74" s="138"/>
      <x:c r="G74" s="138"/>
      <x:c r="H74" s="138"/>
      <x:c r="I74" s="138"/>
      <x:c r="J74" s="138"/>
      <x:c r="K74" s="138"/>
      <x:c r="L74" s="138"/>
      <x:c r="M74" s="138"/>
      <x:c r="N74" s="138"/>
      <x:c r="O74" s="138"/>
      <x:c r="P74" s="138"/>
      <x:c r="Q74" s="138"/>
      <x:c r="R74" s="138"/>
      <x:c r="S74" s="138"/>
      <x:c r="T74" s="138"/>
      <x:c r="U74" s="138"/>
      <x:c r="V74" s="138"/>
      <x:c r="W74" s="138"/>
      <x:c r="X74" s="138"/>
      <x:c r="Y74" s="138"/>
      <x:c r="Z74" s="138"/>
    </x:row>
    <x:row r="75">
      <x:c r="A75" s="138"/>
      <x:c r="B75" s="138"/>
      <x:c r="C75" s="138"/>
      <x:c r="D75" s="138"/>
      <x:c r="E75" s="138"/>
      <x:c r="F75" s="138"/>
      <x:c r="G75" s="138"/>
      <x:c r="H75" s="138"/>
      <x:c r="I75" s="138"/>
      <x:c r="J75" s="138"/>
      <x:c r="K75" s="138"/>
      <x:c r="L75" s="138"/>
      <x:c r="M75" s="138"/>
      <x:c r="N75" s="138"/>
      <x:c r="O75" s="138"/>
      <x:c r="P75" s="138"/>
      <x:c r="Q75" s="138"/>
      <x:c r="R75" s="138"/>
      <x:c r="S75" s="138"/>
      <x:c r="T75" s="138"/>
      <x:c r="U75" s="138"/>
      <x:c r="V75" s="138"/>
      <x:c r="W75" s="138"/>
      <x:c r="X75" s="138"/>
      <x:c r="Y75" s="138"/>
      <x:c r="Z75" s="138"/>
    </x:row>
    <x:row r="76">
      <x:c r="A76" s="138"/>
      <x:c r="B76" s="138"/>
      <x:c r="C76" s="138"/>
      <x:c r="D76" s="138"/>
      <x:c r="E76" s="138"/>
      <x:c r="F76" s="138"/>
      <x:c r="G76" s="138"/>
      <x:c r="H76" s="138"/>
      <x:c r="I76" s="138"/>
      <x:c r="J76" s="138"/>
      <x:c r="K76" s="138"/>
      <x:c r="L76" s="138"/>
      <x:c r="M76" s="138"/>
      <x:c r="N76" s="138"/>
      <x:c r="O76" s="138"/>
      <x:c r="P76" s="138"/>
      <x:c r="Q76" s="138"/>
      <x:c r="R76" s="138"/>
      <x:c r="S76" s="138"/>
      <x:c r="T76" s="138"/>
      <x:c r="U76" s="138"/>
      <x:c r="V76" s="138"/>
      <x:c r="W76" s="138"/>
      <x:c r="X76" s="138"/>
      <x:c r="Y76" s="138"/>
      <x:c r="Z76" s="138"/>
    </x:row>
    <x:row r="77">
      <x:c r="A77" s="138"/>
      <x:c r="B77" s="138"/>
      <x:c r="C77" s="138"/>
      <x:c r="D77" s="138"/>
      <x:c r="E77" s="138"/>
      <x:c r="F77" s="138"/>
      <x:c r="G77" s="138"/>
      <x:c r="H77" s="138"/>
      <x:c r="I77" s="138"/>
      <x:c r="J77" s="138"/>
      <x:c r="K77" s="138"/>
      <x:c r="L77" s="138"/>
      <x:c r="M77" s="138"/>
      <x:c r="N77" s="138"/>
      <x:c r="O77" s="138"/>
      <x:c r="P77" s="138"/>
      <x:c r="Q77" s="138"/>
      <x:c r="R77" s="138"/>
      <x:c r="S77" s="138"/>
      <x:c r="T77" s="138"/>
      <x:c r="U77" s="138"/>
      <x:c r="V77" s="138"/>
      <x:c r="W77" s="138"/>
      <x:c r="X77" s="138"/>
      <x:c r="Y77" s="138"/>
      <x:c r="Z77" s="138"/>
    </x:row>
    <x:row r="78">
      <x:c r="A78" s="138"/>
      <x:c r="B78" s="138"/>
      <x:c r="C78" s="138"/>
      <x:c r="D78" s="138"/>
      <x:c r="E78" s="138"/>
      <x:c r="F78" s="138"/>
      <x:c r="G78" s="138"/>
      <x:c r="H78" s="138"/>
      <x:c r="I78" s="138"/>
      <x:c r="J78" s="138"/>
      <x:c r="K78" s="138"/>
      <x:c r="L78" s="138"/>
      <x:c r="M78" s="138"/>
      <x:c r="N78" s="138"/>
      <x:c r="O78" s="138"/>
      <x:c r="P78" s="138"/>
      <x:c r="Q78" s="138"/>
      <x:c r="R78" s="138"/>
      <x:c r="S78" s="138"/>
      <x:c r="T78" s="138"/>
      <x:c r="U78" s="138"/>
      <x:c r="V78" s="138"/>
      <x:c r="W78" s="138"/>
      <x:c r="X78" s="138"/>
      <x:c r="Y78" s="138"/>
      <x:c r="Z78" s="138"/>
    </x:row>
    <x:row r="79">
      <x:c r="A79" s="138"/>
      <x:c r="B79" s="138"/>
      <x:c r="C79" s="138"/>
      <x:c r="D79" s="138"/>
      <x:c r="E79" s="138"/>
      <x:c r="F79" s="138"/>
      <x:c r="G79" s="138"/>
      <x:c r="H79" s="138"/>
      <x:c r="I79" s="138"/>
      <x:c r="J79" s="138"/>
      <x:c r="K79" s="138"/>
      <x:c r="L79" s="138"/>
      <x:c r="M79" s="138"/>
      <x:c r="N79" s="138"/>
      <x:c r="O79" s="138"/>
      <x:c r="P79" s="138"/>
      <x:c r="Q79" s="138"/>
      <x:c r="R79" s="138"/>
      <x:c r="S79" s="138"/>
      <x:c r="T79" s="138"/>
      <x:c r="U79" s="138"/>
      <x:c r="V79" s="138"/>
      <x:c r="W79" s="138"/>
      <x:c r="X79" s="138"/>
      <x:c r="Y79" s="138"/>
      <x:c r="Z79" s="138"/>
    </x:row>
    <x:row r="80">
      <x:c r="A80" s="138"/>
      <x:c r="B80" s="138"/>
      <x:c r="C80" s="138"/>
      <x:c r="D80" s="138"/>
      <x:c r="E80" s="138"/>
      <x:c r="F80" s="138"/>
      <x:c r="G80" s="138"/>
      <x:c r="H80" s="138"/>
      <x:c r="I80" s="138"/>
      <x:c r="J80" s="138"/>
      <x:c r="K80" s="138"/>
      <x:c r="L80" s="138"/>
      <x:c r="M80" s="138"/>
      <x:c r="N80" s="138"/>
      <x:c r="O80" s="138"/>
      <x:c r="P80" s="138"/>
      <x:c r="Q80" s="138"/>
      <x:c r="R80" s="138"/>
      <x:c r="S80" s="138"/>
      <x:c r="T80" s="138"/>
      <x:c r="U80" s="138"/>
      <x:c r="V80" s="138"/>
      <x:c r="W80" s="138"/>
      <x:c r="X80" s="138"/>
      <x:c r="Y80" s="138"/>
      <x:c r="Z80" s="138"/>
    </x:row>
    <x:row r="81">
      <x:c r="A81" s="138"/>
      <x:c r="B81" s="138"/>
      <x:c r="C81" s="138"/>
      <x:c r="D81" s="138"/>
      <x:c r="E81" s="138"/>
      <x:c r="F81" s="138"/>
      <x:c r="G81" s="138"/>
      <x:c r="H81" s="138"/>
      <x:c r="I81" s="138"/>
      <x:c r="J81" s="138"/>
      <x:c r="K81" s="138"/>
      <x:c r="L81" s="138"/>
      <x:c r="M81" s="138"/>
      <x:c r="N81" s="138"/>
      <x:c r="O81" s="138"/>
      <x:c r="P81" s="138"/>
      <x:c r="Q81" s="138"/>
      <x:c r="R81" s="138"/>
      <x:c r="S81" s="138"/>
      <x:c r="T81" s="138"/>
      <x:c r="U81" s="138"/>
      <x:c r="V81" s="138"/>
      <x:c r="W81" s="138"/>
      <x:c r="X81" s="138"/>
      <x:c r="Y81" s="138"/>
      <x:c r="Z81" s="138"/>
    </x:row>
    <x:row r="82">
      <x:c r="A82" s="138"/>
      <x:c r="B82" s="138"/>
      <x:c r="C82" s="138"/>
      <x:c r="D82" s="138"/>
      <x:c r="E82" s="138"/>
      <x:c r="F82" s="138"/>
      <x:c r="G82" s="138"/>
      <x:c r="H82" s="138"/>
      <x:c r="I82" s="138"/>
      <x:c r="J82" s="138"/>
      <x:c r="K82" s="138"/>
      <x:c r="L82" s="138"/>
      <x:c r="M82" s="138"/>
      <x:c r="N82" s="138"/>
      <x:c r="O82" s="138"/>
      <x:c r="P82" s="138"/>
      <x:c r="Q82" s="138"/>
      <x:c r="R82" s="138"/>
      <x:c r="S82" s="138"/>
      <x:c r="T82" s="138"/>
      <x:c r="U82" s="138"/>
      <x:c r="V82" s="138"/>
      <x:c r="W82" s="138"/>
      <x:c r="X82" s="138"/>
      <x:c r="Y82" s="138"/>
      <x:c r="Z82" s="138"/>
    </x:row>
    <x:row r="83">
      <x:c r="A83" s="138"/>
      <x:c r="B83" s="138"/>
      <x:c r="C83" s="138"/>
      <x:c r="D83" s="138"/>
      <x:c r="E83" s="138"/>
      <x:c r="F83" s="138"/>
      <x:c r="G83" s="138"/>
      <x:c r="H83" s="138"/>
      <x:c r="I83" s="138"/>
      <x:c r="J83" s="138"/>
      <x:c r="K83" s="138"/>
      <x:c r="L83" s="138"/>
      <x:c r="M83" s="138"/>
      <x:c r="N83" s="138"/>
      <x:c r="O83" s="138"/>
      <x:c r="P83" s="138"/>
      <x:c r="Q83" s="138"/>
      <x:c r="R83" s="138"/>
      <x:c r="S83" s="138"/>
      <x:c r="T83" s="138"/>
      <x:c r="U83" s="138"/>
      <x:c r="V83" s="138"/>
      <x:c r="W83" s="138"/>
      <x:c r="X83" s="138"/>
      <x:c r="Y83" s="138"/>
      <x:c r="Z83" s="138"/>
    </x:row>
    <x:row r="84">
      <x:c r="A84" s="138"/>
      <x:c r="B84" s="138"/>
      <x:c r="C84" s="138"/>
      <x:c r="D84" s="138"/>
      <x:c r="E84" s="138"/>
      <x:c r="F84" s="138"/>
      <x:c r="G84" s="138"/>
      <x:c r="H84" s="138"/>
      <x:c r="I84" s="138"/>
      <x:c r="J84" s="138"/>
      <x:c r="K84" s="138"/>
      <x:c r="L84" s="138"/>
      <x:c r="M84" s="138"/>
      <x:c r="N84" s="138"/>
      <x:c r="O84" s="138"/>
      <x:c r="P84" s="138"/>
      <x:c r="Q84" s="138"/>
      <x:c r="R84" s="138"/>
      <x:c r="S84" s="138"/>
      <x:c r="T84" s="138"/>
      <x:c r="U84" s="138"/>
      <x:c r="V84" s="138"/>
      <x:c r="W84" s="138"/>
      <x:c r="X84" s="138"/>
      <x:c r="Y84" s="138"/>
      <x:c r="Z84" s="138"/>
    </x:row>
    <x:row r="85">
      <x:c r="A85" s="138"/>
      <x:c r="B85" s="138"/>
      <x:c r="C85" s="138"/>
      <x:c r="D85" s="138"/>
      <x:c r="E85" s="138"/>
      <x:c r="F85" s="138"/>
      <x:c r="G85" s="138"/>
      <x:c r="H85" s="138"/>
      <x:c r="I85" s="138"/>
      <x:c r="J85" s="138"/>
      <x:c r="K85" s="138"/>
      <x:c r="L85" s="138"/>
      <x:c r="M85" s="138"/>
      <x:c r="N85" s="138"/>
      <x:c r="O85" s="138"/>
      <x:c r="P85" s="138"/>
      <x:c r="Q85" s="138"/>
      <x:c r="R85" s="138"/>
      <x:c r="S85" s="138"/>
      <x:c r="T85" s="138"/>
      <x:c r="U85" s="138"/>
      <x:c r="V85" s="138"/>
      <x:c r="W85" s="138"/>
      <x:c r="X85" s="138"/>
      <x:c r="Y85" s="138"/>
      <x:c r="Z85" s="138"/>
    </x:row>
    <x:row r="86">
      <x:c r="A86" s="138"/>
      <x:c r="B86" s="138"/>
      <x:c r="C86" s="138"/>
      <x:c r="D86" s="138"/>
      <x:c r="E86" s="138"/>
      <x:c r="F86" s="138"/>
      <x:c r="G86" s="138"/>
      <x:c r="H86" s="138"/>
      <x:c r="I86" s="138"/>
      <x:c r="J86" s="138"/>
      <x:c r="K86" s="138"/>
      <x:c r="L86" s="138"/>
      <x:c r="M86" s="138"/>
      <x:c r="N86" s="138"/>
      <x:c r="O86" s="138"/>
      <x:c r="P86" s="138"/>
      <x:c r="Q86" s="138"/>
      <x:c r="R86" s="138"/>
      <x:c r="S86" s="138"/>
      <x:c r="T86" s="138"/>
      <x:c r="U86" s="138"/>
      <x:c r="V86" s="138"/>
      <x:c r="W86" s="138"/>
      <x:c r="X86" s="138"/>
      <x:c r="Y86" s="138"/>
      <x:c r="Z86" s="138"/>
    </x:row>
    <x:row r="87">
      <x:c r="A87" s="138"/>
      <x:c r="B87" s="138"/>
      <x:c r="C87" s="138"/>
      <x:c r="D87" s="138"/>
      <x:c r="E87" s="138"/>
      <x:c r="F87" s="138"/>
      <x:c r="G87" s="138"/>
      <x:c r="H87" s="138"/>
      <x:c r="I87" s="138"/>
      <x:c r="J87" s="138"/>
      <x:c r="K87" s="138"/>
      <x:c r="L87" s="138"/>
      <x:c r="M87" s="138"/>
      <x:c r="N87" s="138"/>
      <x:c r="O87" s="138"/>
      <x:c r="P87" s="138"/>
      <x:c r="Q87" s="138"/>
      <x:c r="R87" s="138"/>
      <x:c r="S87" s="138"/>
      <x:c r="T87" s="138"/>
      <x:c r="U87" s="138"/>
      <x:c r="V87" s="138"/>
      <x:c r="W87" s="138"/>
      <x:c r="X87" s="138"/>
      <x:c r="Y87" s="138"/>
      <x:c r="Z87" s="138"/>
    </x:row>
    <x:row r="88">
      <x:c r="A88" s="138"/>
      <x:c r="B88" s="138"/>
      <x:c r="C88" s="138"/>
      <x:c r="D88" s="138"/>
      <x:c r="E88" s="138"/>
      <x:c r="F88" s="138"/>
      <x:c r="G88" s="138"/>
      <x:c r="H88" s="138"/>
      <x:c r="I88" s="138"/>
      <x:c r="J88" s="138"/>
      <x:c r="K88" s="138"/>
      <x:c r="L88" s="138"/>
      <x:c r="M88" s="138"/>
      <x:c r="N88" s="138"/>
      <x:c r="O88" s="138"/>
      <x:c r="P88" s="138"/>
      <x:c r="Q88" s="138"/>
      <x:c r="R88" s="138"/>
      <x:c r="S88" s="138"/>
      <x:c r="T88" s="138"/>
      <x:c r="U88" s="138"/>
      <x:c r="V88" s="138"/>
      <x:c r="W88" s="138"/>
      <x:c r="X88" s="138"/>
      <x:c r="Y88" s="138"/>
      <x:c r="Z88" s="138"/>
    </x:row>
    <x:row r="89">
      <x:c r="A89" s="138"/>
      <x:c r="B89" s="138"/>
      <x:c r="C89" s="138"/>
      <x:c r="D89" s="138"/>
      <x:c r="E89" s="138"/>
      <x:c r="F89" s="138"/>
      <x:c r="G89" s="138"/>
      <x:c r="H89" s="138"/>
      <x:c r="I89" s="138"/>
      <x:c r="J89" s="138"/>
      <x:c r="K89" s="138"/>
      <x:c r="L89" s="138"/>
      <x:c r="M89" s="138"/>
      <x:c r="N89" s="138"/>
      <x:c r="O89" s="138"/>
      <x:c r="P89" s="138"/>
      <x:c r="Q89" s="138"/>
      <x:c r="R89" s="138"/>
      <x:c r="S89" s="138"/>
      <x:c r="T89" s="138"/>
      <x:c r="U89" s="138"/>
      <x:c r="V89" s="138"/>
      <x:c r="W89" s="138"/>
      <x:c r="X89" s="138"/>
      <x:c r="Y89" s="138"/>
      <x:c r="Z89" s="138"/>
    </x:row>
    <x:row r="90">
      <x:c r="A90" s="138"/>
      <x:c r="B90" s="138"/>
      <x:c r="C90" s="138"/>
      <x:c r="D90" s="138"/>
      <x:c r="E90" s="138"/>
      <x:c r="F90" s="138"/>
      <x:c r="G90" s="138"/>
      <x:c r="H90" s="138"/>
      <x:c r="I90" s="138"/>
      <x:c r="J90" s="138"/>
      <x:c r="K90" s="138"/>
      <x:c r="L90" s="138"/>
      <x:c r="M90" s="138"/>
      <x:c r="N90" s="138"/>
      <x:c r="O90" s="138"/>
      <x:c r="P90" s="138"/>
      <x:c r="Q90" s="138"/>
      <x:c r="R90" s="138"/>
      <x:c r="S90" s="138"/>
      <x:c r="T90" s="138"/>
      <x:c r="U90" s="138"/>
      <x:c r="V90" s="138"/>
      <x:c r="W90" s="138"/>
      <x:c r="X90" s="138"/>
      <x:c r="Y90" s="138"/>
      <x:c r="Z90" s="138"/>
    </x:row>
    <x:row r="91">
      <x:c r="A91" s="138"/>
      <x:c r="B91" s="138"/>
      <x:c r="C91" s="138"/>
      <x:c r="D91" s="138"/>
      <x:c r="E91" s="138"/>
      <x:c r="F91" s="138"/>
      <x:c r="G91" s="138"/>
      <x:c r="H91" s="138"/>
      <x:c r="I91" s="138"/>
      <x:c r="J91" s="138"/>
      <x:c r="K91" s="138"/>
      <x:c r="L91" s="138"/>
      <x:c r="M91" s="138"/>
      <x:c r="N91" s="138"/>
      <x:c r="O91" s="138"/>
      <x:c r="P91" s="138"/>
      <x:c r="Q91" s="138"/>
      <x:c r="R91" s="138"/>
      <x:c r="S91" s="138"/>
      <x:c r="T91" s="138"/>
      <x:c r="U91" s="138"/>
      <x:c r="V91" s="138"/>
      <x:c r="W91" s="138"/>
      <x:c r="X91" s="138"/>
      <x:c r="Y91" s="138"/>
      <x:c r="Z91" s="138"/>
    </x:row>
    <x:row r="92">
      <x:c r="A92" s="138"/>
      <x:c r="B92" s="138"/>
      <x:c r="C92" s="138"/>
      <x:c r="D92" s="138"/>
      <x:c r="E92" s="138"/>
      <x:c r="F92" s="138"/>
      <x:c r="G92" s="138"/>
      <x:c r="H92" s="138"/>
      <x:c r="I92" s="138"/>
      <x:c r="J92" s="138"/>
      <x:c r="K92" s="138"/>
      <x:c r="L92" s="138"/>
      <x:c r="M92" s="138"/>
      <x:c r="N92" s="138"/>
      <x:c r="O92" s="138"/>
      <x:c r="P92" s="138"/>
      <x:c r="Q92" s="138"/>
      <x:c r="R92" s="138"/>
      <x:c r="S92" s="138"/>
      <x:c r="T92" s="138"/>
      <x:c r="U92" s="138"/>
      <x:c r="V92" s="138"/>
      <x:c r="W92" s="138"/>
      <x:c r="X92" s="138"/>
      <x:c r="Y92" s="138"/>
      <x:c r="Z92" s="138"/>
    </x:row>
    <x:row r="93">
      <x:c r="A93" s="138"/>
      <x:c r="B93" s="138"/>
      <x:c r="C93" s="138"/>
      <x:c r="D93" s="138"/>
      <x:c r="E93" s="138"/>
      <x:c r="F93" s="138"/>
      <x:c r="G93" s="138"/>
      <x:c r="H93" s="138"/>
      <x:c r="I93" s="138"/>
      <x:c r="J93" s="138"/>
      <x:c r="K93" s="138"/>
      <x:c r="L93" s="138"/>
      <x:c r="M93" s="138"/>
      <x:c r="N93" s="138"/>
      <x:c r="O93" s="138"/>
      <x:c r="P93" s="138"/>
      <x:c r="Q93" s="138"/>
      <x:c r="R93" s="138"/>
      <x:c r="S93" s="138"/>
      <x:c r="T93" s="138"/>
      <x:c r="U93" s="138"/>
      <x:c r="V93" s="138"/>
      <x:c r="W93" s="138"/>
      <x:c r="X93" s="138"/>
      <x:c r="Y93" s="138"/>
      <x:c r="Z93" s="138"/>
    </x:row>
    <x:row r="94">
      <x:c r="A94" s="138"/>
      <x:c r="B94" s="138"/>
      <x:c r="C94" s="138"/>
      <x:c r="D94" s="138"/>
      <x:c r="E94" s="138"/>
      <x:c r="F94" s="138"/>
      <x:c r="G94" s="138"/>
      <x:c r="H94" s="138"/>
      <x:c r="I94" s="138"/>
      <x:c r="J94" s="138"/>
      <x:c r="K94" s="138"/>
      <x:c r="L94" s="138"/>
      <x:c r="M94" s="138"/>
      <x:c r="N94" s="138"/>
      <x:c r="O94" s="138"/>
      <x:c r="P94" s="138"/>
      <x:c r="Q94" s="138"/>
      <x:c r="R94" s="138"/>
      <x:c r="S94" s="138"/>
      <x:c r="T94" s="138"/>
      <x:c r="U94" s="138"/>
      <x:c r="V94" s="138"/>
      <x:c r="W94" s="138"/>
      <x:c r="X94" s="138"/>
      <x:c r="Y94" s="138"/>
      <x:c r="Z94" s="138"/>
    </x:row>
    <x:row r="95">
      <x:c r="A95" s="138"/>
      <x:c r="B95" s="138"/>
      <x:c r="C95" s="138"/>
      <x:c r="D95" s="138"/>
      <x:c r="E95" s="138"/>
      <x:c r="F95" s="138"/>
      <x:c r="G95" s="138"/>
      <x:c r="H95" s="138"/>
      <x:c r="I95" s="138"/>
      <x:c r="J95" s="138"/>
      <x:c r="K95" s="138"/>
      <x:c r="L95" s="138"/>
      <x:c r="M95" s="138"/>
      <x:c r="N95" s="138"/>
      <x:c r="O95" s="138"/>
      <x:c r="P95" s="138"/>
      <x:c r="Q95" s="138"/>
      <x:c r="R95" s="138"/>
      <x:c r="S95" s="138"/>
      <x:c r="T95" s="138"/>
      <x:c r="U95" s="138"/>
      <x:c r="V95" s="138"/>
      <x:c r="W95" s="138"/>
      <x:c r="X95" s="138"/>
      <x:c r="Y95" s="138"/>
      <x:c r="Z95" s="138"/>
    </x:row>
    <x:row r="96">
      <x:c r="A96" s="138"/>
      <x:c r="B96" s="138"/>
      <x:c r="C96" s="138"/>
      <x:c r="D96" s="138"/>
      <x:c r="E96" s="138"/>
      <x:c r="F96" s="138"/>
      <x:c r="G96" s="138"/>
      <x:c r="H96" s="138"/>
      <x:c r="I96" s="138"/>
      <x:c r="J96" s="138"/>
      <x:c r="K96" s="138"/>
      <x:c r="L96" s="138"/>
      <x:c r="M96" s="138"/>
      <x:c r="N96" s="138"/>
      <x:c r="O96" s="138"/>
      <x:c r="P96" s="138"/>
      <x:c r="Q96" s="138"/>
      <x:c r="R96" s="138"/>
      <x:c r="S96" s="138"/>
      <x:c r="T96" s="138"/>
      <x:c r="U96" s="138"/>
      <x:c r="V96" s="138"/>
      <x:c r="W96" s="138"/>
      <x:c r="X96" s="138"/>
      <x:c r="Y96" s="138"/>
      <x:c r="Z96" s="138"/>
    </x:row>
    <x:row r="97">
      <x:c r="A97" s="138"/>
      <x:c r="B97" s="138"/>
      <x:c r="C97" s="138"/>
      <x:c r="D97" s="138"/>
      <x:c r="E97" s="138"/>
      <x:c r="F97" s="138"/>
      <x:c r="G97" s="138"/>
      <x:c r="H97" s="138"/>
      <x:c r="I97" s="138"/>
      <x:c r="J97" s="138"/>
      <x:c r="K97" s="138"/>
      <x:c r="L97" s="138"/>
      <x:c r="M97" s="138"/>
      <x:c r="N97" s="138"/>
      <x:c r="O97" s="138"/>
      <x:c r="P97" s="138"/>
      <x:c r="Q97" s="138"/>
      <x:c r="R97" s="138"/>
      <x:c r="S97" s="138"/>
      <x:c r="T97" s="138"/>
      <x:c r="U97" s="138"/>
      <x:c r="V97" s="138"/>
      <x:c r="W97" s="138"/>
      <x:c r="X97" s="138"/>
      <x:c r="Y97" s="138"/>
      <x:c r="Z97" s="138"/>
    </x:row>
    <x:row r="98">
      <x:c r="A98" s="138"/>
      <x:c r="B98" s="138"/>
      <x:c r="C98" s="138"/>
      <x:c r="D98" s="138"/>
      <x:c r="E98" s="138"/>
      <x:c r="F98" s="138"/>
      <x:c r="G98" s="138"/>
      <x:c r="H98" s="138"/>
      <x:c r="I98" s="138"/>
      <x:c r="J98" s="138"/>
      <x:c r="K98" s="138"/>
      <x:c r="L98" s="138"/>
      <x:c r="M98" s="138"/>
      <x:c r="N98" s="138"/>
      <x:c r="O98" s="138"/>
      <x:c r="P98" s="138"/>
      <x:c r="Q98" s="138"/>
      <x:c r="R98" s="138"/>
      <x:c r="S98" s="138"/>
      <x:c r="T98" s="138"/>
      <x:c r="U98" s="138"/>
      <x:c r="V98" s="138"/>
      <x:c r="W98" s="138"/>
      <x:c r="X98" s="138"/>
      <x:c r="Y98" s="138"/>
      <x:c r="Z98" s="138"/>
    </x:row>
    <x:row r="99">
      <x:c r="A99" s="138"/>
      <x:c r="B99" s="138"/>
      <x:c r="C99" s="138"/>
      <x:c r="D99" s="138"/>
      <x:c r="E99" s="138"/>
      <x:c r="F99" s="138"/>
      <x:c r="G99" s="138"/>
      <x:c r="H99" s="138"/>
      <x:c r="I99" s="138"/>
      <x:c r="J99" s="138"/>
      <x:c r="K99" s="138"/>
      <x:c r="L99" s="138"/>
      <x:c r="M99" s="138"/>
      <x:c r="N99" s="138"/>
      <x:c r="O99" s="138"/>
      <x:c r="P99" s="138"/>
      <x:c r="Q99" s="138"/>
      <x:c r="R99" s="138"/>
      <x:c r="S99" s="138"/>
      <x:c r="T99" s="138"/>
      <x:c r="U99" s="138"/>
      <x:c r="V99" s="138"/>
      <x:c r="W99" s="138"/>
      <x:c r="X99" s="138"/>
      <x:c r="Y99" s="138"/>
      <x:c r="Z99" s="138"/>
    </x:row>
    <x:row r="100">
      <x:c r="A100" s="138"/>
      <x:c r="B100" s="138"/>
      <x:c r="C100" s="138"/>
      <x:c r="D100" s="138"/>
      <x:c r="E100" s="138"/>
      <x:c r="F100" s="138"/>
      <x:c r="G100" s="138"/>
      <x:c r="H100" s="138"/>
      <x:c r="I100" s="138"/>
      <x:c r="J100" s="138"/>
      <x:c r="K100" s="138"/>
      <x:c r="L100" s="138"/>
      <x:c r="M100" s="138"/>
      <x:c r="N100" s="138"/>
      <x:c r="O100" s="138"/>
      <x:c r="P100" s="138"/>
      <x:c r="Q100" s="138"/>
      <x:c r="R100" s="138"/>
      <x:c r="S100" s="138"/>
      <x:c r="T100" s="138"/>
      <x:c r="U100" s="138"/>
      <x:c r="V100" s="138"/>
      <x:c r="W100" s="138"/>
      <x:c r="X100" s="138"/>
      <x:c r="Y100" s="138"/>
      <x:c r="Z100" s="138"/>
    </x:row>
    <x:row r="101">
      <x:c r="A101" s="138"/>
      <x:c r="B101" s="138"/>
      <x:c r="C101" s="138"/>
      <x:c r="D101" s="138"/>
      <x:c r="E101" s="138"/>
      <x:c r="F101" s="138"/>
      <x:c r="G101" s="138"/>
      <x:c r="H101" s="138"/>
      <x:c r="I101" s="138"/>
      <x:c r="J101" s="138"/>
      <x:c r="K101" s="138"/>
      <x:c r="L101" s="138"/>
      <x:c r="M101" s="138"/>
      <x:c r="N101" s="138"/>
      <x:c r="O101" s="138"/>
      <x:c r="P101" s="138"/>
      <x:c r="Q101" s="138"/>
      <x:c r="R101" s="138"/>
      <x:c r="S101" s="138"/>
      <x:c r="T101" s="138"/>
      <x:c r="U101" s="138"/>
      <x:c r="V101" s="138"/>
      <x:c r="W101" s="138"/>
      <x:c r="X101" s="138"/>
      <x:c r="Y101" s="138"/>
      <x:c r="Z101" s="138"/>
    </x:row>
    <x:row r="102">
      <x:c r="A102" s="138"/>
      <x:c r="B102" s="138"/>
      <x:c r="C102" s="138"/>
      <x:c r="D102" s="138"/>
      <x:c r="E102" s="138"/>
      <x:c r="F102" s="138"/>
      <x:c r="G102" s="138"/>
      <x:c r="H102" s="138"/>
      <x:c r="I102" s="138"/>
      <x:c r="J102" s="138"/>
      <x:c r="K102" s="138"/>
      <x:c r="L102" s="138"/>
      <x:c r="M102" s="138"/>
      <x:c r="N102" s="138"/>
      <x:c r="O102" s="138"/>
      <x:c r="P102" s="138"/>
      <x:c r="Q102" s="138"/>
      <x:c r="R102" s="138"/>
      <x:c r="S102" s="138"/>
      <x:c r="T102" s="138"/>
      <x:c r="U102" s="138"/>
      <x:c r="V102" s="138"/>
      <x:c r="W102" s="138"/>
      <x:c r="X102" s="138"/>
      <x:c r="Y102" s="138"/>
      <x:c r="Z102" s="138"/>
    </x:row>
    <x:row r="103">
      <x:c r="A103" s="138"/>
      <x:c r="B103" s="138"/>
      <x:c r="C103" s="138"/>
      <x:c r="D103" s="138"/>
      <x:c r="E103" s="138"/>
      <x:c r="F103" s="138"/>
      <x:c r="G103" s="138"/>
      <x:c r="H103" s="138"/>
      <x:c r="I103" s="138"/>
      <x:c r="J103" s="138"/>
      <x:c r="K103" s="138"/>
      <x:c r="L103" s="138"/>
      <x:c r="M103" s="138"/>
      <x:c r="N103" s="138"/>
      <x:c r="O103" s="138"/>
      <x:c r="P103" s="138"/>
      <x:c r="Q103" s="138"/>
      <x:c r="R103" s="138"/>
      <x:c r="S103" s="138"/>
      <x:c r="T103" s="138"/>
      <x:c r="U103" s="138"/>
      <x:c r="V103" s="138"/>
      <x:c r="W103" s="138"/>
      <x:c r="X103" s="138"/>
      <x:c r="Y103" s="138"/>
      <x:c r="Z103" s="138"/>
    </x:row>
    <x:row r="104">
      <x:c r="A104" s="138"/>
      <x:c r="B104" s="138"/>
      <x:c r="C104" s="138"/>
      <x:c r="D104" s="138"/>
      <x:c r="E104" s="138"/>
      <x:c r="F104" s="138"/>
      <x:c r="G104" s="138"/>
      <x:c r="H104" s="138"/>
      <x:c r="I104" s="138"/>
      <x:c r="J104" s="138"/>
      <x:c r="K104" s="138"/>
      <x:c r="L104" s="138"/>
      <x:c r="M104" s="138"/>
      <x:c r="N104" s="138"/>
      <x:c r="O104" s="138"/>
      <x:c r="P104" s="138"/>
      <x:c r="Q104" s="138"/>
      <x:c r="R104" s="138"/>
      <x:c r="S104" s="138"/>
      <x:c r="T104" s="138"/>
      <x:c r="U104" s="138"/>
      <x:c r="V104" s="138"/>
      <x:c r="W104" s="138"/>
      <x:c r="X104" s="138"/>
      <x:c r="Y104" s="138"/>
      <x:c r="Z104" s="138"/>
    </x:row>
    <x:row r="105">
      <x:c r="A105" s="138"/>
      <x:c r="B105" s="138"/>
      <x:c r="C105" s="138"/>
      <x:c r="D105" s="138"/>
      <x:c r="E105" s="138"/>
      <x:c r="F105" s="138"/>
      <x:c r="G105" s="138"/>
      <x:c r="H105" s="138"/>
      <x:c r="I105" s="138"/>
      <x:c r="J105" s="138"/>
      <x:c r="K105" s="138"/>
      <x:c r="L105" s="138"/>
      <x:c r="M105" s="138"/>
      <x:c r="N105" s="138"/>
      <x:c r="O105" s="138"/>
      <x:c r="P105" s="138"/>
      <x:c r="Q105" s="138"/>
      <x:c r="R105" s="138"/>
      <x:c r="S105" s="138"/>
      <x:c r="T105" s="138"/>
      <x:c r="U105" s="138"/>
      <x:c r="V105" s="138"/>
      <x:c r="W105" s="138"/>
      <x:c r="X105" s="138"/>
      <x:c r="Y105" s="138"/>
      <x:c r="Z105" s="138"/>
    </x:row>
    <x:row r="106">
      <x:c r="A106" s="138"/>
      <x:c r="B106" s="138"/>
      <x:c r="C106" s="138"/>
      <x:c r="D106" s="138"/>
      <x:c r="E106" s="138"/>
      <x:c r="F106" s="138"/>
      <x:c r="G106" s="138"/>
      <x:c r="H106" s="138"/>
      <x:c r="I106" s="138"/>
      <x:c r="J106" s="138"/>
      <x:c r="K106" s="138"/>
      <x:c r="L106" s="138"/>
      <x:c r="M106" s="138"/>
      <x:c r="N106" s="138"/>
      <x:c r="O106" s="138"/>
      <x:c r="P106" s="138"/>
      <x:c r="Q106" s="138"/>
      <x:c r="R106" s="138"/>
      <x:c r="S106" s="138"/>
      <x:c r="T106" s="138"/>
      <x:c r="U106" s="138"/>
      <x:c r="V106" s="138"/>
      <x:c r="W106" s="138"/>
      <x:c r="X106" s="138"/>
      <x:c r="Y106" s="138"/>
      <x:c r="Z106" s="138"/>
    </x:row>
    <x:row r="107">
      <x:c r="A107" s="138"/>
      <x:c r="B107" s="138"/>
      <x:c r="C107" s="138"/>
      <x:c r="D107" s="138"/>
      <x:c r="E107" s="138"/>
      <x:c r="F107" s="138"/>
      <x:c r="G107" s="138"/>
      <x:c r="H107" s="138"/>
      <x:c r="I107" s="138"/>
      <x:c r="J107" s="138"/>
      <x:c r="K107" s="138"/>
      <x:c r="L107" s="138"/>
      <x:c r="M107" s="138"/>
      <x:c r="N107" s="138"/>
      <x:c r="O107" s="138"/>
      <x:c r="P107" s="138"/>
      <x:c r="Q107" s="138"/>
      <x:c r="R107" s="138"/>
      <x:c r="S107" s="138"/>
      <x:c r="T107" s="138"/>
      <x:c r="U107" s="138"/>
      <x:c r="V107" s="138"/>
      <x:c r="W107" s="138"/>
      <x:c r="X107" s="138"/>
      <x:c r="Y107" s="138"/>
      <x:c r="Z107" s="138"/>
    </x:row>
    <x:row r="108">
      <x:c r="A108" s="138"/>
      <x:c r="B108" s="138"/>
      <x:c r="C108" s="138"/>
      <x:c r="D108" s="138"/>
      <x:c r="E108" s="138"/>
      <x:c r="F108" s="138"/>
      <x:c r="G108" s="138"/>
      <x:c r="H108" s="138"/>
      <x:c r="I108" s="138"/>
      <x:c r="J108" s="138"/>
      <x:c r="K108" s="138"/>
      <x:c r="L108" s="138"/>
      <x:c r="M108" s="138"/>
      <x:c r="N108" s="138"/>
      <x:c r="O108" s="138"/>
      <x:c r="P108" s="138"/>
      <x:c r="Q108" s="138"/>
      <x:c r="R108" s="138"/>
      <x:c r="S108" s="138"/>
      <x:c r="T108" s="138"/>
      <x:c r="U108" s="138"/>
      <x:c r="V108" s="138"/>
      <x:c r="W108" s="138"/>
      <x:c r="X108" s="138"/>
      <x:c r="Y108" s="138"/>
      <x:c r="Z108" s="138"/>
    </x:row>
    <x:row r="109">
      <x:c r="A109" s="138"/>
      <x:c r="B109" s="138"/>
      <x:c r="C109" s="138"/>
      <x:c r="D109" s="138"/>
      <x:c r="E109" s="138"/>
      <x:c r="F109" s="138"/>
      <x:c r="G109" s="138"/>
      <x:c r="H109" s="138"/>
      <x:c r="I109" s="138"/>
      <x:c r="J109" s="138"/>
      <x:c r="K109" s="138"/>
      <x:c r="L109" s="138"/>
      <x:c r="M109" s="138"/>
      <x:c r="N109" s="138"/>
      <x:c r="O109" s="138"/>
      <x:c r="P109" s="138"/>
      <x:c r="Q109" s="138"/>
      <x:c r="R109" s="138"/>
      <x:c r="S109" s="138"/>
      <x:c r="T109" s="138"/>
      <x:c r="U109" s="138"/>
      <x:c r="V109" s="138"/>
      <x:c r="W109" s="138"/>
      <x:c r="X109" s="138"/>
      <x:c r="Y109" s="138"/>
      <x:c r="Z109" s="138"/>
    </x:row>
    <x:row r="110">
      <x:c r="A110" s="138"/>
      <x:c r="B110" s="138"/>
      <x:c r="C110" s="138"/>
      <x:c r="D110" s="138"/>
      <x:c r="E110" s="138"/>
      <x:c r="F110" s="138"/>
      <x:c r="G110" s="138"/>
      <x:c r="H110" s="138"/>
      <x:c r="I110" s="138"/>
      <x:c r="J110" s="138"/>
      <x:c r="K110" s="138"/>
      <x:c r="L110" s="138"/>
      <x:c r="M110" s="138"/>
      <x:c r="N110" s="138"/>
      <x:c r="O110" s="138"/>
      <x:c r="P110" s="138"/>
      <x:c r="Q110" s="138"/>
      <x:c r="R110" s="138"/>
      <x:c r="S110" s="138"/>
      <x:c r="T110" s="138"/>
      <x:c r="U110" s="138"/>
      <x:c r="V110" s="138"/>
      <x:c r="W110" s="138"/>
      <x:c r="X110" s="138"/>
      <x:c r="Y110" s="138"/>
      <x:c r="Z110" s="138"/>
    </x:row>
    <x:row r="111">
      <x:c r="A111" s="138"/>
      <x:c r="B111" s="138"/>
      <x:c r="C111" s="138"/>
      <x:c r="D111" s="138"/>
      <x:c r="E111" s="138"/>
      <x:c r="F111" s="138"/>
      <x:c r="G111" s="138"/>
      <x:c r="H111" s="138"/>
      <x:c r="I111" s="138"/>
      <x:c r="J111" s="138"/>
      <x:c r="K111" s="138"/>
      <x:c r="L111" s="138"/>
      <x:c r="M111" s="138"/>
      <x:c r="N111" s="138"/>
      <x:c r="O111" s="138"/>
      <x:c r="P111" s="138"/>
      <x:c r="Q111" s="138"/>
      <x:c r="R111" s="138"/>
      <x:c r="S111" s="138"/>
      <x:c r="T111" s="138"/>
      <x:c r="U111" s="138"/>
      <x:c r="V111" s="138"/>
      <x:c r="W111" s="138"/>
      <x:c r="X111" s="138"/>
      <x:c r="Y111" s="138"/>
      <x:c r="Z111" s="138"/>
    </x:row>
    <x:row r="112">
      <x:c r="A112" s="138"/>
      <x:c r="B112" s="138"/>
      <x:c r="C112" s="138"/>
      <x:c r="D112" s="138"/>
      <x:c r="E112" s="138"/>
      <x:c r="F112" s="138"/>
      <x:c r="G112" s="138"/>
      <x:c r="H112" s="138"/>
      <x:c r="I112" s="138"/>
      <x:c r="J112" s="138"/>
      <x:c r="K112" s="138"/>
      <x:c r="L112" s="138"/>
      <x:c r="M112" s="138"/>
      <x:c r="N112" s="138"/>
      <x:c r="O112" s="138"/>
      <x:c r="P112" s="138"/>
      <x:c r="Q112" s="138"/>
      <x:c r="R112" s="138"/>
      <x:c r="S112" s="138"/>
      <x:c r="T112" s="138"/>
      <x:c r="U112" s="138"/>
      <x:c r="V112" s="138"/>
      <x:c r="W112" s="138"/>
      <x:c r="X112" s="138"/>
      <x:c r="Y112" s="138"/>
      <x:c r="Z112" s="138"/>
    </x:row>
    <x:row r="113">
      <x:c r="A113" s="138"/>
      <x:c r="B113" s="138"/>
      <x:c r="C113" s="138"/>
      <x:c r="D113" s="138"/>
      <x:c r="E113" s="138"/>
      <x:c r="F113" s="138"/>
      <x:c r="G113" s="138"/>
      <x:c r="H113" s="138"/>
      <x:c r="I113" s="138"/>
      <x:c r="J113" s="138"/>
      <x:c r="K113" s="138"/>
      <x:c r="L113" s="138"/>
      <x:c r="M113" s="138"/>
      <x:c r="N113" s="138"/>
      <x:c r="O113" s="138"/>
      <x:c r="P113" s="138"/>
      <x:c r="Q113" s="138"/>
      <x:c r="R113" s="138"/>
      <x:c r="S113" s="138"/>
      <x:c r="T113" s="138"/>
      <x:c r="U113" s="138"/>
      <x:c r="V113" s="138"/>
      <x:c r="W113" s="138"/>
      <x:c r="X113" s="138"/>
      <x:c r="Y113" s="138"/>
      <x:c r="Z113" s="138"/>
    </x:row>
    <x:row r="114">
      <x:c r="A114" s="138"/>
      <x:c r="B114" s="138"/>
      <x:c r="C114" s="138"/>
      <x:c r="D114" s="138"/>
      <x:c r="E114" s="138"/>
      <x:c r="F114" s="138"/>
      <x:c r="G114" s="138"/>
      <x:c r="H114" s="138"/>
      <x:c r="I114" s="138"/>
      <x:c r="J114" s="138"/>
      <x:c r="K114" s="138"/>
      <x:c r="L114" s="138"/>
      <x:c r="M114" s="138"/>
      <x:c r="N114" s="138"/>
      <x:c r="O114" s="138"/>
      <x:c r="P114" s="138"/>
      <x:c r="Q114" s="138"/>
      <x:c r="R114" s="138"/>
      <x:c r="S114" s="138"/>
      <x:c r="T114" s="138"/>
      <x:c r="U114" s="138"/>
      <x:c r="V114" s="138"/>
      <x:c r="W114" s="138"/>
      <x:c r="X114" s="138"/>
      <x:c r="Y114" s="138"/>
      <x:c r="Z114" s="138"/>
    </x:row>
    <x:row r="115">
      <x:c r="A115" s="138"/>
      <x:c r="B115" s="138"/>
      <x:c r="C115" s="138"/>
      <x:c r="D115" s="138"/>
      <x:c r="E115" s="138"/>
      <x:c r="F115" s="138"/>
      <x:c r="G115" s="138"/>
      <x:c r="H115" s="138"/>
      <x:c r="I115" s="138"/>
      <x:c r="J115" s="138"/>
      <x:c r="K115" s="138"/>
      <x:c r="L115" s="138"/>
      <x:c r="M115" s="138"/>
      <x:c r="N115" s="138"/>
      <x:c r="O115" s="138"/>
      <x:c r="P115" s="138"/>
      <x:c r="Q115" s="138"/>
      <x:c r="R115" s="138"/>
      <x:c r="S115" s="138"/>
      <x:c r="T115" s="138"/>
      <x:c r="U115" s="138"/>
      <x:c r="V115" s="138"/>
      <x:c r="W115" s="138"/>
      <x:c r="X115" s="138"/>
      <x:c r="Y115" s="138"/>
      <x:c r="Z115" s="138"/>
    </x:row>
    <x:row r="116">
      <x:c r="A116" s="138"/>
      <x:c r="B116" s="138"/>
      <x:c r="C116" s="138"/>
      <x:c r="D116" s="138"/>
      <x:c r="E116" s="138"/>
      <x:c r="F116" s="138"/>
      <x:c r="G116" s="138"/>
      <x:c r="H116" s="138"/>
      <x:c r="I116" s="138"/>
      <x:c r="J116" s="138"/>
      <x:c r="K116" s="138"/>
      <x:c r="L116" s="138"/>
      <x:c r="M116" s="138"/>
      <x:c r="N116" s="138"/>
      <x:c r="O116" s="138"/>
      <x:c r="P116" s="138"/>
      <x:c r="Q116" s="138"/>
      <x:c r="R116" s="138"/>
      <x:c r="S116" s="138"/>
      <x:c r="T116" s="138"/>
      <x:c r="U116" s="138"/>
      <x:c r="V116" s="138"/>
      <x:c r="W116" s="138"/>
      <x:c r="X116" s="138"/>
      <x:c r="Y116" s="138"/>
      <x:c r="Z116" s="138"/>
    </x:row>
    <x:row r="117">
      <x:c r="A117" s="138"/>
      <x:c r="B117" s="138"/>
      <x:c r="C117" s="138"/>
      <x:c r="D117" s="138"/>
      <x:c r="E117" s="138"/>
      <x:c r="F117" s="138"/>
      <x:c r="G117" s="138"/>
      <x:c r="H117" s="138"/>
      <x:c r="I117" s="138"/>
      <x:c r="J117" s="138"/>
      <x:c r="K117" s="138"/>
      <x:c r="L117" s="138"/>
      <x:c r="M117" s="138"/>
      <x:c r="N117" s="138"/>
      <x:c r="O117" s="138"/>
      <x:c r="P117" s="138"/>
      <x:c r="Q117" s="138"/>
      <x:c r="R117" s="138"/>
      <x:c r="S117" s="138"/>
      <x:c r="T117" s="138"/>
      <x:c r="U117" s="138"/>
      <x:c r="V117" s="138"/>
      <x:c r="W117" s="138"/>
      <x:c r="X117" s="138"/>
      <x:c r="Y117" s="138"/>
      <x:c r="Z117" s="138"/>
    </x:row>
    <x:row r="118">
      <x:c r="A118" s="138"/>
      <x:c r="B118" s="138"/>
      <x:c r="C118" s="138"/>
      <x:c r="D118" s="138"/>
      <x:c r="E118" s="138"/>
      <x:c r="F118" s="138"/>
      <x:c r="G118" s="138"/>
      <x:c r="H118" s="138"/>
      <x:c r="I118" s="138"/>
      <x:c r="J118" s="138"/>
      <x:c r="K118" s="138"/>
      <x:c r="L118" s="138"/>
      <x:c r="M118" s="138"/>
      <x:c r="N118" s="138"/>
      <x:c r="O118" s="138"/>
      <x:c r="P118" s="138"/>
      <x:c r="Q118" s="138"/>
      <x:c r="R118" s="138"/>
      <x:c r="S118" s="138"/>
      <x:c r="T118" s="138"/>
      <x:c r="U118" s="138"/>
      <x:c r="V118" s="138"/>
      <x:c r="W118" s="138"/>
      <x:c r="X118" s="138"/>
      <x:c r="Y118" s="138"/>
      <x:c r="Z118" s="138"/>
    </x:row>
    <x:row r="119">
      <x:c r="A119" s="138"/>
      <x:c r="B119" s="138"/>
      <x:c r="C119" s="138"/>
      <x:c r="D119" s="138"/>
      <x:c r="E119" s="138"/>
      <x:c r="F119" s="138"/>
      <x:c r="G119" s="138"/>
      <x:c r="H119" s="138"/>
      <x:c r="I119" s="138"/>
      <x:c r="J119" s="138"/>
      <x:c r="K119" s="138"/>
      <x:c r="L119" s="138"/>
      <x:c r="M119" s="138"/>
      <x:c r="N119" s="138"/>
      <x:c r="O119" s="138"/>
      <x:c r="P119" s="138"/>
      <x:c r="Q119" s="138"/>
      <x:c r="R119" s="138"/>
      <x:c r="S119" s="138"/>
      <x:c r="T119" s="138"/>
      <x:c r="U119" s="138"/>
      <x:c r="V119" s="138"/>
      <x:c r="W119" s="138"/>
      <x:c r="X119" s="138"/>
      <x:c r="Y119" s="138"/>
      <x:c r="Z119" s="138"/>
    </x:row>
    <x:row r="120">
      <x:c r="A120" s="138"/>
      <x:c r="B120" s="138"/>
      <x:c r="C120" s="138"/>
      <x:c r="D120" s="138"/>
      <x:c r="E120" s="138"/>
      <x:c r="F120" s="138"/>
      <x:c r="G120" s="138"/>
      <x:c r="H120" s="138"/>
      <x:c r="I120" s="138"/>
      <x:c r="J120" s="138"/>
      <x:c r="K120" s="138"/>
      <x:c r="L120" s="138"/>
      <x:c r="M120" s="138"/>
      <x:c r="N120" s="138"/>
      <x:c r="O120" s="138"/>
      <x:c r="P120" s="138"/>
      <x:c r="Q120" s="138"/>
      <x:c r="R120" s="138"/>
      <x:c r="S120" s="138"/>
      <x:c r="T120" s="138"/>
      <x:c r="U120" s="138"/>
      <x:c r="V120" s="138"/>
      <x:c r="W120" s="138"/>
      <x:c r="X120" s="138"/>
      <x:c r="Y120" s="138"/>
      <x:c r="Z120" s="138"/>
    </x:row>
    <x:row r="121">
      <x:c r="A121" s="138"/>
      <x:c r="B121" s="138"/>
      <x:c r="C121" s="138"/>
      <x:c r="D121" s="138"/>
      <x:c r="E121" s="138"/>
      <x:c r="F121" s="138"/>
      <x:c r="G121" s="138"/>
      <x:c r="H121" s="138"/>
      <x:c r="I121" s="138"/>
      <x:c r="J121" s="138"/>
      <x:c r="K121" s="138"/>
      <x:c r="L121" s="138"/>
      <x:c r="M121" s="138"/>
      <x:c r="N121" s="138"/>
      <x:c r="O121" s="138"/>
      <x:c r="P121" s="138"/>
      <x:c r="Q121" s="138"/>
      <x:c r="R121" s="138"/>
      <x:c r="S121" s="138"/>
      <x:c r="T121" s="138"/>
      <x:c r="U121" s="138"/>
      <x:c r="V121" s="138"/>
      <x:c r="W121" s="138"/>
      <x:c r="X121" s="138"/>
      <x:c r="Y121" s="138"/>
      <x:c r="Z121" s="138"/>
    </x:row>
    <x:row r="122">
      <x:c r="A122" s="138"/>
      <x:c r="B122" s="138"/>
      <x:c r="C122" s="138"/>
      <x:c r="D122" s="138"/>
      <x:c r="E122" s="138"/>
      <x:c r="F122" s="138"/>
      <x:c r="G122" s="138"/>
      <x:c r="H122" s="138"/>
      <x:c r="I122" s="138"/>
      <x:c r="J122" s="138"/>
      <x:c r="K122" s="138"/>
      <x:c r="L122" s="138"/>
      <x:c r="M122" s="138"/>
      <x:c r="N122" s="138"/>
      <x:c r="O122" s="138"/>
      <x:c r="P122" s="138"/>
      <x:c r="Q122" s="138"/>
      <x:c r="R122" s="138"/>
      <x:c r="S122" s="138"/>
      <x:c r="T122" s="138"/>
      <x:c r="U122" s="138"/>
      <x:c r="V122" s="138"/>
      <x:c r="W122" s="138"/>
      <x:c r="X122" s="138"/>
      <x:c r="Y122" s="138"/>
      <x:c r="Z122" s="138"/>
    </x:row>
    <x:row r="123">
      <x:c r="A123" s="138"/>
      <x:c r="B123" s="138"/>
      <x:c r="C123" s="138"/>
      <x:c r="D123" s="138"/>
      <x:c r="E123" s="138"/>
      <x:c r="F123" s="138"/>
      <x:c r="G123" s="138"/>
      <x:c r="H123" s="138"/>
      <x:c r="I123" s="138"/>
      <x:c r="J123" s="138"/>
      <x:c r="K123" s="138"/>
      <x:c r="L123" s="138"/>
      <x:c r="M123" s="138"/>
      <x:c r="N123" s="138"/>
      <x:c r="O123" s="138"/>
      <x:c r="P123" s="138"/>
      <x:c r="Q123" s="138"/>
      <x:c r="R123" s="138"/>
      <x:c r="S123" s="138"/>
      <x:c r="T123" s="138"/>
      <x:c r="U123" s="138"/>
      <x:c r="V123" s="138"/>
      <x:c r="W123" s="138"/>
      <x:c r="X123" s="138"/>
      <x:c r="Y123" s="138"/>
      <x:c r="Z123" s="138"/>
    </x:row>
    <x:row r="124">
      <x:c r="A124" s="138"/>
      <x:c r="B124" s="138"/>
      <x:c r="C124" s="138"/>
      <x:c r="D124" s="138"/>
      <x:c r="E124" s="138"/>
      <x:c r="F124" s="138"/>
      <x:c r="G124" s="138"/>
      <x:c r="H124" s="138"/>
      <x:c r="I124" s="138"/>
      <x:c r="J124" s="138"/>
      <x:c r="K124" s="138"/>
      <x:c r="L124" s="138"/>
      <x:c r="M124" s="138"/>
      <x:c r="N124" s="138"/>
      <x:c r="O124" s="138"/>
      <x:c r="P124" s="138"/>
      <x:c r="Q124" s="138"/>
      <x:c r="R124" s="138"/>
      <x:c r="S124" s="138"/>
      <x:c r="T124" s="138"/>
      <x:c r="U124" s="138"/>
      <x:c r="V124" s="138"/>
      <x:c r="W124" s="138"/>
      <x:c r="X124" s="138"/>
      <x:c r="Y124" s="138"/>
      <x:c r="Z124" s="138"/>
    </x:row>
    <x:row r="125">
      <x:c r="A125" s="138"/>
      <x:c r="B125" s="138"/>
      <x:c r="C125" s="138"/>
      <x:c r="D125" s="138"/>
      <x:c r="E125" s="138"/>
      <x:c r="F125" s="138"/>
      <x:c r="G125" s="138"/>
      <x:c r="H125" s="138"/>
      <x:c r="I125" s="138"/>
      <x:c r="J125" s="138"/>
      <x:c r="K125" s="138"/>
      <x:c r="L125" s="138"/>
      <x:c r="M125" s="138"/>
      <x:c r="N125" s="138"/>
      <x:c r="O125" s="138"/>
      <x:c r="P125" s="138"/>
      <x:c r="Q125" s="138"/>
      <x:c r="R125" s="138"/>
      <x:c r="S125" s="138"/>
      <x:c r="T125" s="138"/>
      <x:c r="U125" s="138"/>
      <x:c r="V125" s="138"/>
      <x:c r="W125" s="138"/>
      <x:c r="X125" s="138"/>
      <x:c r="Y125" s="138"/>
      <x:c r="Z125" s="138"/>
    </x:row>
    <x:row r="126">
      <x:c r="A126" s="138"/>
      <x:c r="B126" s="138"/>
      <x:c r="C126" s="138"/>
      <x:c r="D126" s="138"/>
      <x:c r="E126" s="138"/>
      <x:c r="F126" s="138"/>
      <x:c r="G126" s="138"/>
      <x:c r="H126" s="138"/>
      <x:c r="I126" s="138"/>
      <x:c r="J126" s="138"/>
      <x:c r="K126" s="138"/>
      <x:c r="L126" s="138"/>
      <x:c r="M126" s="138"/>
      <x:c r="N126" s="138"/>
      <x:c r="O126" s="138"/>
      <x:c r="P126" s="138"/>
      <x:c r="Q126" s="138"/>
      <x:c r="R126" s="138"/>
      <x:c r="S126" s="138"/>
      <x:c r="T126" s="138"/>
      <x:c r="U126" s="138"/>
      <x:c r="V126" s="138"/>
      <x:c r="W126" s="138"/>
      <x:c r="X126" s="138"/>
      <x:c r="Y126" s="138"/>
      <x:c r="Z126" s="138"/>
    </x:row>
    <x:row r="127">
      <x:c r="A127" s="138"/>
      <x:c r="B127" s="138"/>
      <x:c r="C127" s="138"/>
      <x:c r="D127" s="138"/>
      <x:c r="E127" s="138"/>
      <x:c r="F127" s="138"/>
      <x:c r="G127" s="138"/>
      <x:c r="H127" s="138"/>
      <x:c r="I127" s="138"/>
      <x:c r="J127" s="138"/>
      <x:c r="K127" s="138"/>
      <x:c r="L127" s="138"/>
      <x:c r="M127" s="138"/>
      <x:c r="N127" s="138"/>
      <x:c r="O127" s="138"/>
      <x:c r="P127" s="138"/>
      <x:c r="Q127" s="138"/>
      <x:c r="R127" s="138"/>
      <x:c r="S127" s="138"/>
      <x:c r="T127" s="138"/>
      <x:c r="U127" s="138"/>
      <x:c r="V127" s="138"/>
      <x:c r="W127" s="138"/>
      <x:c r="X127" s="138"/>
      <x:c r="Y127" s="138"/>
      <x:c r="Z127" s="138"/>
    </x:row>
    <x:row r="128">
      <x:c r="A128" s="138"/>
      <x:c r="B128" s="138"/>
      <x:c r="C128" s="138"/>
      <x:c r="D128" s="138"/>
      <x:c r="E128" s="138"/>
      <x:c r="F128" s="138"/>
      <x:c r="G128" s="138"/>
      <x:c r="H128" s="138"/>
      <x:c r="I128" s="138"/>
      <x:c r="J128" s="138"/>
      <x:c r="K128" s="138"/>
      <x:c r="L128" s="138"/>
      <x:c r="M128" s="138"/>
      <x:c r="N128" s="138"/>
      <x:c r="O128" s="138"/>
      <x:c r="P128" s="138"/>
      <x:c r="Q128" s="138"/>
      <x:c r="R128" s="138"/>
      <x:c r="S128" s="138"/>
      <x:c r="T128" s="138"/>
      <x:c r="U128" s="138"/>
      <x:c r="V128" s="138"/>
      <x:c r="W128" s="138"/>
      <x:c r="X128" s="138"/>
      <x:c r="Y128" s="138"/>
      <x:c r="Z128" s="138"/>
    </x:row>
    <x:row r="129">
      <x:c r="A129" s="138"/>
      <x:c r="B129" s="138"/>
      <x:c r="C129" s="138"/>
      <x:c r="D129" s="138"/>
      <x:c r="E129" s="138"/>
      <x:c r="F129" s="138"/>
      <x:c r="G129" s="138"/>
      <x:c r="H129" s="138"/>
      <x:c r="I129" s="138"/>
      <x:c r="J129" s="138"/>
      <x:c r="K129" s="138"/>
      <x:c r="L129" s="138"/>
      <x:c r="M129" s="138"/>
      <x:c r="N129" s="138"/>
      <x:c r="O129" s="138"/>
      <x:c r="P129" s="138"/>
      <x:c r="Q129" s="138"/>
      <x:c r="R129" s="138"/>
      <x:c r="S129" s="138"/>
      <x:c r="T129" s="138"/>
      <x:c r="U129" s="138"/>
      <x:c r="V129" s="138"/>
      <x:c r="W129" s="138"/>
      <x:c r="X129" s="138"/>
      <x:c r="Y129" s="138"/>
      <x:c r="Z129" s="138"/>
    </x:row>
    <x:row r="130">
      <x:c r="A130" s="138"/>
      <x:c r="B130" s="138"/>
      <x:c r="C130" s="138"/>
      <x:c r="D130" s="138"/>
      <x:c r="E130" s="138"/>
      <x:c r="F130" s="138"/>
      <x:c r="G130" s="138"/>
      <x:c r="H130" s="138"/>
      <x:c r="I130" s="138"/>
      <x:c r="J130" s="138"/>
      <x:c r="K130" s="138"/>
      <x:c r="L130" s="138"/>
      <x:c r="M130" s="138"/>
      <x:c r="N130" s="138"/>
      <x:c r="O130" s="138"/>
      <x:c r="P130" s="138"/>
      <x:c r="Q130" s="138"/>
      <x:c r="R130" s="138"/>
      <x:c r="S130" s="138"/>
      <x:c r="T130" s="138"/>
      <x:c r="U130" s="138"/>
      <x:c r="V130" s="138"/>
      <x:c r="W130" s="138"/>
      <x:c r="X130" s="138"/>
      <x:c r="Y130" s="138"/>
      <x:c r="Z130" s="138"/>
    </x:row>
    <x:row r="131">
      <x:c r="A131" s="138"/>
      <x:c r="B131" s="138"/>
      <x:c r="C131" s="138"/>
      <x:c r="D131" s="138"/>
      <x:c r="E131" s="138"/>
      <x:c r="F131" s="138"/>
      <x:c r="G131" s="138"/>
      <x:c r="H131" s="138"/>
      <x:c r="I131" s="138"/>
      <x:c r="J131" s="138"/>
      <x:c r="K131" s="138"/>
      <x:c r="L131" s="138"/>
      <x:c r="M131" s="138"/>
      <x:c r="N131" s="138"/>
      <x:c r="O131" s="138"/>
      <x:c r="P131" s="138"/>
      <x:c r="Q131" s="138"/>
      <x:c r="R131" s="138"/>
      <x:c r="S131" s="138"/>
      <x:c r="T131" s="138"/>
      <x:c r="U131" s="138"/>
      <x:c r="V131" s="138"/>
      <x:c r="W131" s="138"/>
      <x:c r="X131" s="138"/>
      <x:c r="Y131" s="138"/>
      <x:c r="Z131" s="138"/>
    </x:row>
    <x:row r="132">
      <x:c r="A132" s="138"/>
      <x:c r="B132" s="138"/>
      <x:c r="C132" s="138"/>
      <x:c r="D132" s="138"/>
      <x:c r="E132" s="138"/>
      <x:c r="F132" s="138"/>
      <x:c r="G132" s="138"/>
      <x:c r="H132" s="138"/>
      <x:c r="I132" s="138"/>
      <x:c r="J132" s="138"/>
      <x:c r="K132" s="138"/>
      <x:c r="L132" s="138"/>
      <x:c r="M132" s="138"/>
      <x:c r="N132" s="138"/>
      <x:c r="O132" s="138"/>
      <x:c r="P132" s="138"/>
      <x:c r="Q132" s="138"/>
      <x:c r="R132" s="138"/>
      <x:c r="S132" s="138"/>
      <x:c r="T132" s="138"/>
      <x:c r="U132" s="138"/>
      <x:c r="V132" s="138"/>
      <x:c r="W132" s="138"/>
      <x:c r="X132" s="138"/>
      <x:c r="Y132" s="138"/>
      <x:c r="Z132" s="138"/>
    </x:row>
    <x:row r="133">
      <x:c r="A133" s="138"/>
      <x:c r="B133" s="138"/>
      <x:c r="C133" s="138"/>
      <x:c r="D133" s="138"/>
      <x:c r="E133" s="138"/>
      <x:c r="F133" s="138"/>
      <x:c r="G133" s="138"/>
      <x:c r="H133" s="138"/>
      <x:c r="I133" s="138"/>
      <x:c r="J133" s="138"/>
      <x:c r="K133" s="138"/>
      <x:c r="L133" s="138"/>
      <x:c r="M133" s="138"/>
      <x:c r="N133" s="138"/>
      <x:c r="O133" s="138"/>
      <x:c r="P133" s="138"/>
      <x:c r="Q133" s="138"/>
      <x:c r="R133" s="138"/>
      <x:c r="S133" s="138"/>
      <x:c r="T133" s="138"/>
      <x:c r="U133" s="138"/>
      <x:c r="V133" s="138"/>
      <x:c r="W133" s="138"/>
      <x:c r="X133" s="138"/>
      <x:c r="Y133" s="138"/>
      <x:c r="Z133" s="138"/>
    </x:row>
    <x:row r="134">
      <x:c r="A134" s="138"/>
      <x:c r="B134" s="138"/>
      <x:c r="C134" s="138"/>
      <x:c r="D134" s="138"/>
      <x:c r="E134" s="138"/>
      <x:c r="F134" s="138"/>
      <x:c r="G134" s="138"/>
      <x:c r="H134" s="138"/>
      <x:c r="I134" s="138"/>
      <x:c r="J134" s="138"/>
      <x:c r="K134" s="138"/>
      <x:c r="L134" s="138"/>
      <x:c r="M134" s="138"/>
      <x:c r="N134" s="138"/>
      <x:c r="O134" s="138"/>
      <x:c r="P134" s="138"/>
      <x:c r="Q134" s="138"/>
      <x:c r="R134" s="138"/>
      <x:c r="S134" s="138"/>
      <x:c r="T134" s="138"/>
      <x:c r="U134" s="138"/>
      <x:c r="V134" s="138"/>
      <x:c r="W134" s="138"/>
      <x:c r="X134" s="138"/>
      <x:c r="Y134" s="138"/>
      <x:c r="Z134" s="138"/>
    </x:row>
    <x:row r="135">
      <x:c r="A135" s="138"/>
      <x:c r="B135" s="138"/>
      <x:c r="C135" s="138"/>
      <x:c r="D135" s="138"/>
      <x:c r="E135" s="138"/>
      <x:c r="F135" s="138"/>
      <x:c r="G135" s="138"/>
      <x:c r="H135" s="138"/>
      <x:c r="I135" s="138"/>
      <x:c r="J135" s="138"/>
      <x:c r="K135" s="138"/>
      <x:c r="L135" s="138"/>
      <x:c r="M135" s="138"/>
      <x:c r="N135" s="138"/>
      <x:c r="O135" s="138"/>
      <x:c r="P135" s="138"/>
      <x:c r="Q135" s="138"/>
      <x:c r="R135" s="138"/>
      <x:c r="S135" s="138"/>
      <x:c r="T135" s="138"/>
      <x:c r="U135" s="138"/>
      <x:c r="V135" s="138"/>
      <x:c r="W135" s="138"/>
      <x:c r="X135" s="138"/>
      <x:c r="Y135" s="138"/>
      <x:c r="Z135" s="138"/>
    </x:row>
    <x:row r="136">
      <x:c r="A136" s="138"/>
      <x:c r="B136" s="138"/>
      <x:c r="C136" s="138"/>
      <x:c r="D136" s="138"/>
      <x:c r="E136" s="138"/>
      <x:c r="F136" s="138"/>
      <x:c r="G136" s="138"/>
      <x:c r="H136" s="138"/>
      <x:c r="I136" s="138"/>
      <x:c r="J136" s="138"/>
      <x:c r="K136" s="138"/>
      <x:c r="L136" s="138"/>
      <x:c r="M136" s="138"/>
      <x:c r="N136" s="138"/>
      <x:c r="O136" s="138"/>
      <x:c r="P136" s="138"/>
      <x:c r="Q136" s="138"/>
      <x:c r="R136" s="138"/>
      <x:c r="S136" s="138"/>
      <x:c r="T136" s="138"/>
      <x:c r="U136" s="138"/>
      <x:c r="V136" s="138"/>
      <x:c r="W136" s="138"/>
      <x:c r="X136" s="138"/>
      <x:c r="Y136" s="138"/>
      <x:c r="Z136" s="138"/>
    </x:row>
    <x:row r="137">
      <x:c r="A137" s="138"/>
      <x:c r="B137" s="138"/>
      <x:c r="C137" s="138"/>
      <x:c r="D137" s="138"/>
      <x:c r="E137" s="138"/>
      <x:c r="F137" s="138"/>
      <x:c r="G137" s="138"/>
      <x:c r="H137" s="138"/>
      <x:c r="I137" s="138"/>
      <x:c r="J137" s="138"/>
      <x:c r="K137" s="138"/>
      <x:c r="L137" s="138"/>
      <x:c r="M137" s="138"/>
      <x:c r="N137" s="138"/>
      <x:c r="O137" s="138"/>
      <x:c r="P137" s="138"/>
      <x:c r="Q137" s="138"/>
      <x:c r="R137" s="138"/>
      <x:c r="S137" s="138"/>
      <x:c r="T137" s="138"/>
      <x:c r="U137" s="138"/>
      <x:c r="V137" s="138"/>
      <x:c r="W137" s="138"/>
      <x:c r="X137" s="138"/>
      <x:c r="Y137" s="138"/>
      <x:c r="Z137" s="138"/>
    </x:row>
    <x:row r="138">
      <x:c r="A138" s="138"/>
      <x:c r="B138" s="138"/>
      <x:c r="C138" s="138"/>
      <x:c r="D138" s="138"/>
      <x:c r="E138" s="138"/>
      <x:c r="F138" s="138"/>
      <x:c r="G138" s="138"/>
      <x:c r="H138" s="138"/>
      <x:c r="I138" s="138"/>
      <x:c r="J138" s="138"/>
      <x:c r="K138" s="138"/>
      <x:c r="L138" s="138"/>
      <x:c r="M138" s="138"/>
      <x:c r="N138" s="138"/>
      <x:c r="O138" s="138"/>
      <x:c r="P138" s="138"/>
      <x:c r="Q138" s="138"/>
      <x:c r="R138" s="138"/>
      <x:c r="S138" s="138"/>
      <x:c r="T138" s="138"/>
      <x:c r="U138" s="138"/>
      <x:c r="V138" s="138"/>
      <x:c r="W138" s="138"/>
      <x:c r="X138" s="138"/>
      <x:c r="Y138" s="138"/>
      <x:c r="Z138" s="138"/>
    </x:row>
    <x:row r="139">
      <x:c r="A139" s="138"/>
      <x:c r="B139" s="138"/>
      <x:c r="C139" s="138"/>
      <x:c r="D139" s="138"/>
      <x:c r="E139" s="138"/>
      <x:c r="F139" s="138"/>
      <x:c r="G139" s="138"/>
      <x:c r="H139" s="138"/>
      <x:c r="I139" s="138"/>
      <x:c r="J139" s="138"/>
      <x:c r="K139" s="138"/>
      <x:c r="L139" s="138"/>
      <x:c r="M139" s="138"/>
      <x:c r="N139" s="138"/>
      <x:c r="O139" s="138"/>
      <x:c r="P139" s="138"/>
      <x:c r="Q139" s="138"/>
      <x:c r="R139" s="138"/>
      <x:c r="S139" s="138"/>
      <x:c r="T139" s="138"/>
      <x:c r="U139" s="138"/>
      <x:c r="V139" s="138"/>
      <x:c r="W139" s="138"/>
      <x:c r="X139" s="138"/>
      <x:c r="Y139" s="138"/>
      <x:c r="Z139" s="138"/>
    </x:row>
    <x:row r="140">
      <x:c r="A140" s="138"/>
      <x:c r="B140" s="138"/>
      <x:c r="C140" s="138"/>
      <x:c r="D140" s="138"/>
      <x:c r="E140" s="138"/>
      <x:c r="F140" s="138"/>
      <x:c r="G140" s="138"/>
      <x:c r="H140" s="138"/>
      <x:c r="I140" s="138"/>
      <x:c r="J140" s="138"/>
      <x:c r="K140" s="138"/>
      <x:c r="L140" s="138"/>
      <x:c r="M140" s="138"/>
      <x:c r="N140" s="138"/>
      <x:c r="O140" s="138"/>
      <x:c r="P140" s="138"/>
      <x:c r="Q140" s="138"/>
      <x:c r="R140" s="138"/>
      <x:c r="S140" s="138"/>
      <x:c r="T140" s="138"/>
      <x:c r="U140" s="138"/>
      <x:c r="V140" s="138"/>
      <x:c r="W140" s="138"/>
      <x:c r="X140" s="138"/>
      <x:c r="Y140" s="138"/>
      <x:c r="Z140" s="138"/>
    </x:row>
    <x:row r="141">
      <x:c r="A141" s="138"/>
      <x:c r="B141" s="138"/>
      <x:c r="C141" s="138"/>
      <x:c r="D141" s="138"/>
      <x:c r="E141" s="138"/>
      <x:c r="F141" s="138"/>
      <x:c r="G141" s="138"/>
      <x:c r="H141" s="138"/>
      <x:c r="I141" s="138"/>
      <x:c r="J141" s="138"/>
      <x:c r="K141" s="138"/>
      <x:c r="L141" s="138"/>
      <x:c r="M141" s="138"/>
      <x:c r="N141" s="138"/>
      <x:c r="O141" s="138"/>
      <x:c r="P141" s="138"/>
      <x:c r="Q141" s="138"/>
      <x:c r="R141" s="138"/>
      <x:c r="S141" s="138"/>
      <x:c r="T141" s="138"/>
      <x:c r="U141" s="138"/>
      <x:c r="V141" s="138"/>
      <x:c r="W141" s="138"/>
      <x:c r="X141" s="138"/>
      <x:c r="Y141" s="138"/>
      <x:c r="Z141" s="138"/>
    </x:row>
    <x:row r="142">
      <x:c r="A142" s="138"/>
      <x:c r="B142" s="138"/>
      <x:c r="C142" s="138"/>
      <x:c r="D142" s="138"/>
      <x:c r="E142" s="138"/>
      <x:c r="F142" s="138"/>
      <x:c r="G142" s="138"/>
      <x:c r="H142" s="138"/>
      <x:c r="I142" s="138"/>
      <x:c r="J142" s="138"/>
      <x:c r="K142" s="138"/>
      <x:c r="L142" s="138"/>
      <x:c r="M142" s="138"/>
      <x:c r="N142" s="138"/>
      <x:c r="O142" s="138"/>
      <x:c r="P142" s="138"/>
      <x:c r="Q142" s="138"/>
      <x:c r="R142" s="138"/>
      <x:c r="S142" s="138"/>
      <x:c r="T142" s="138"/>
      <x:c r="U142" s="138"/>
      <x:c r="V142" s="138"/>
      <x:c r="W142" s="138"/>
      <x:c r="X142" s="138"/>
      <x:c r="Y142" s="138"/>
      <x:c r="Z142" s="138"/>
    </x:row>
    <x:row r="143">
      <x:c r="A143" s="138"/>
      <x:c r="B143" s="138"/>
      <x:c r="C143" s="138"/>
      <x:c r="D143" s="138"/>
      <x:c r="E143" s="138"/>
      <x:c r="F143" s="138"/>
      <x:c r="G143" s="138"/>
      <x:c r="H143" s="138"/>
      <x:c r="I143" s="138"/>
      <x:c r="J143" s="138"/>
      <x:c r="K143" s="138"/>
      <x:c r="L143" s="138"/>
      <x:c r="M143" s="138"/>
      <x:c r="N143" s="138"/>
      <x:c r="O143" s="138"/>
      <x:c r="P143" s="138"/>
      <x:c r="Q143" s="138"/>
      <x:c r="R143" s="138"/>
      <x:c r="S143" s="138"/>
      <x:c r="T143" s="138"/>
      <x:c r="U143" s="138"/>
      <x:c r="V143" s="138"/>
      <x:c r="W143" s="138"/>
      <x:c r="X143" s="138"/>
      <x:c r="Y143" s="138"/>
      <x:c r="Z143" s="138"/>
    </x:row>
    <x:row r="144">
      <x:c r="A144" s="138"/>
      <x:c r="B144" s="138"/>
      <x:c r="C144" s="138"/>
      <x:c r="D144" s="138"/>
      <x:c r="E144" s="138"/>
      <x:c r="F144" s="138"/>
      <x:c r="G144" s="138"/>
      <x:c r="H144" s="138"/>
      <x:c r="I144" s="138"/>
      <x:c r="J144" s="138"/>
      <x:c r="K144" s="138"/>
      <x:c r="L144" s="138"/>
      <x:c r="M144" s="138"/>
      <x:c r="N144" s="138"/>
      <x:c r="O144" s="138"/>
      <x:c r="P144" s="138"/>
      <x:c r="Q144" s="138"/>
      <x:c r="R144" s="138"/>
      <x:c r="S144" s="138"/>
      <x:c r="T144" s="138"/>
      <x:c r="U144" s="138"/>
      <x:c r="V144" s="138"/>
      <x:c r="W144" s="138"/>
      <x:c r="X144" s="138"/>
      <x:c r="Y144" s="138"/>
      <x:c r="Z144" s="138"/>
    </x:row>
    <x:row r="145">
      <x:c r="A145" s="138"/>
      <x:c r="B145" s="138"/>
      <x:c r="C145" s="138"/>
      <x:c r="D145" s="138"/>
      <x:c r="E145" s="138"/>
      <x:c r="F145" s="138"/>
      <x:c r="G145" s="138"/>
      <x:c r="H145" s="138"/>
      <x:c r="I145" s="138"/>
      <x:c r="J145" s="138"/>
      <x:c r="K145" s="138"/>
      <x:c r="L145" s="138"/>
      <x:c r="M145" s="138"/>
      <x:c r="N145" s="138"/>
      <x:c r="O145" s="138"/>
      <x:c r="P145" s="138"/>
      <x:c r="Q145" s="138"/>
      <x:c r="R145" s="138"/>
      <x:c r="S145" s="138"/>
      <x:c r="T145" s="138"/>
      <x:c r="U145" s="138"/>
      <x:c r="V145" s="138"/>
      <x:c r="W145" s="138"/>
      <x:c r="X145" s="138"/>
      <x:c r="Y145" s="138"/>
      <x:c r="Z145" s="138"/>
    </x:row>
    <x:row r="146">
      <x:c r="A146" s="138"/>
      <x:c r="B146" s="138"/>
      <x:c r="C146" s="138"/>
      <x:c r="D146" s="138"/>
      <x:c r="E146" s="138"/>
      <x:c r="F146" s="138"/>
      <x:c r="G146" s="138"/>
      <x:c r="H146" s="138"/>
      <x:c r="I146" s="138"/>
      <x:c r="J146" s="138"/>
      <x:c r="K146" s="138"/>
      <x:c r="L146" s="138"/>
      <x:c r="M146" s="138"/>
      <x:c r="N146" s="138"/>
      <x:c r="O146" s="138"/>
      <x:c r="P146" s="138"/>
      <x:c r="Q146" s="138"/>
      <x:c r="R146" s="138"/>
      <x:c r="S146" s="138"/>
      <x:c r="T146" s="138"/>
      <x:c r="U146" s="138"/>
      <x:c r="V146" s="138"/>
      <x:c r="W146" s="138"/>
      <x:c r="X146" s="138"/>
      <x:c r="Y146" s="138"/>
      <x:c r="Z146" s="138"/>
    </x:row>
    <x:row r="147">
      <x:c r="A147" s="138"/>
      <x:c r="B147" s="138"/>
      <x:c r="C147" s="138"/>
      <x:c r="D147" s="138"/>
      <x:c r="E147" s="138"/>
      <x:c r="F147" s="138"/>
      <x:c r="G147" s="138"/>
      <x:c r="H147" s="138"/>
      <x:c r="I147" s="138"/>
      <x:c r="J147" s="138"/>
      <x:c r="K147" s="138"/>
      <x:c r="L147" s="138"/>
      <x:c r="M147" s="138"/>
      <x:c r="N147" s="138"/>
      <x:c r="O147" s="138"/>
      <x:c r="P147" s="138"/>
      <x:c r="Q147" s="138"/>
      <x:c r="R147" s="138"/>
      <x:c r="S147" s="138"/>
      <x:c r="T147" s="138"/>
      <x:c r="U147" s="138"/>
      <x:c r="V147" s="138"/>
      <x:c r="W147" s="138"/>
      <x:c r="X147" s="138"/>
      <x:c r="Y147" s="138"/>
      <x:c r="Z147" s="138"/>
    </x:row>
    <x:row r="148">
      <x:c r="A148" s="138"/>
      <x:c r="B148" s="138"/>
      <x:c r="C148" s="138"/>
      <x:c r="D148" s="138"/>
      <x:c r="E148" s="138"/>
      <x:c r="F148" s="138"/>
      <x:c r="G148" s="138"/>
      <x:c r="H148" s="138"/>
      <x:c r="I148" s="138"/>
      <x:c r="J148" s="138"/>
      <x:c r="K148" s="138"/>
      <x:c r="L148" s="138"/>
      <x:c r="M148" s="138"/>
      <x:c r="N148" s="138"/>
      <x:c r="O148" s="138"/>
      <x:c r="P148" s="138"/>
      <x:c r="Q148" s="138"/>
      <x:c r="R148" s="138"/>
      <x:c r="S148" s="138"/>
      <x:c r="T148" s="138"/>
      <x:c r="U148" s="138"/>
      <x:c r="V148" s="138"/>
      <x:c r="W148" s="138"/>
      <x:c r="X148" s="138"/>
      <x:c r="Y148" s="138"/>
      <x:c r="Z148" s="138"/>
    </x:row>
    <x:row r="149">
      <x:c r="A149" s="138"/>
      <x:c r="B149" s="138"/>
      <x:c r="C149" s="138"/>
      <x:c r="D149" s="138"/>
      <x:c r="E149" s="138"/>
      <x:c r="F149" s="138"/>
      <x:c r="G149" s="138"/>
      <x:c r="H149" s="138"/>
      <x:c r="I149" s="138"/>
      <x:c r="J149" s="138"/>
      <x:c r="K149" s="138"/>
      <x:c r="L149" s="138"/>
      <x:c r="M149" s="138"/>
      <x:c r="N149" s="138"/>
      <x:c r="O149" s="138"/>
      <x:c r="P149" s="138"/>
      <x:c r="Q149" s="138"/>
      <x:c r="R149" s="138"/>
      <x:c r="S149" s="138"/>
      <x:c r="T149" s="138"/>
      <x:c r="U149" s="138"/>
      <x:c r="V149" s="138"/>
      <x:c r="W149" s="138"/>
      <x:c r="X149" s="138"/>
      <x:c r="Y149" s="138"/>
      <x:c r="Z149" s="138"/>
    </x:row>
    <x:row r="150">
      <x:c r="A150" s="138"/>
      <x:c r="B150" s="138"/>
      <x:c r="C150" s="138"/>
      <x:c r="D150" s="138"/>
      <x:c r="E150" s="138"/>
      <x:c r="F150" s="138"/>
      <x:c r="G150" s="138"/>
      <x:c r="H150" s="138"/>
      <x:c r="I150" s="138"/>
      <x:c r="J150" s="138"/>
      <x:c r="K150" s="138"/>
      <x:c r="L150" s="138"/>
      <x:c r="M150" s="138"/>
      <x:c r="N150" s="138"/>
      <x:c r="O150" s="138"/>
      <x:c r="P150" s="138"/>
      <x:c r="Q150" s="138"/>
      <x:c r="R150" s="138"/>
      <x:c r="S150" s="138"/>
      <x:c r="T150" s="138"/>
      <x:c r="U150" s="138"/>
      <x:c r="V150" s="138"/>
      <x:c r="W150" s="138"/>
      <x:c r="X150" s="138"/>
      <x:c r="Y150" s="138"/>
      <x:c r="Z150" s="138"/>
    </x:row>
    <x:row r="151">
      <x:c r="A151" s="138"/>
      <x:c r="B151" s="138"/>
      <x:c r="C151" s="138"/>
      <x:c r="D151" s="138"/>
      <x:c r="E151" s="138"/>
      <x:c r="F151" s="138"/>
      <x:c r="G151" s="138"/>
      <x:c r="H151" s="138"/>
      <x:c r="I151" s="138"/>
      <x:c r="J151" s="138"/>
      <x:c r="K151" s="138"/>
      <x:c r="L151" s="138"/>
      <x:c r="M151" s="138"/>
      <x:c r="N151" s="138"/>
      <x:c r="O151" s="138"/>
      <x:c r="P151" s="138"/>
      <x:c r="Q151" s="138"/>
      <x:c r="R151" s="138"/>
      <x:c r="S151" s="138"/>
      <x:c r="T151" s="138"/>
      <x:c r="U151" s="138"/>
      <x:c r="V151" s="138"/>
      <x:c r="W151" s="138"/>
      <x:c r="X151" s="138"/>
      <x:c r="Y151" s="138"/>
      <x:c r="Z151" s="138"/>
    </x:row>
    <x:row r="152">
      <x:c r="A152" s="138"/>
      <x:c r="B152" s="138"/>
      <x:c r="C152" s="138"/>
      <x:c r="D152" s="138"/>
      <x:c r="E152" s="138"/>
      <x:c r="F152" s="138"/>
      <x:c r="G152" s="138"/>
      <x:c r="H152" s="138"/>
      <x:c r="I152" s="138"/>
      <x:c r="J152" s="138"/>
      <x:c r="K152" s="138"/>
      <x:c r="L152" s="138"/>
      <x:c r="M152" s="138"/>
      <x:c r="N152" s="138"/>
      <x:c r="O152" s="138"/>
      <x:c r="P152" s="138"/>
      <x:c r="Q152" s="138"/>
      <x:c r="R152" s="138"/>
      <x:c r="S152" s="138"/>
      <x:c r="T152" s="138"/>
      <x:c r="U152" s="138"/>
      <x:c r="V152" s="138"/>
      <x:c r="W152" s="138"/>
      <x:c r="X152" s="138"/>
      <x:c r="Y152" s="138"/>
      <x:c r="Z152" s="138"/>
    </x:row>
    <x:row r="153">
      <x:c r="A153" s="138"/>
      <x:c r="B153" s="138"/>
      <x:c r="C153" s="138"/>
      <x:c r="D153" s="138"/>
      <x:c r="E153" s="138"/>
      <x:c r="F153" s="138"/>
      <x:c r="G153" s="138"/>
      <x:c r="H153" s="138"/>
      <x:c r="I153" s="138"/>
      <x:c r="J153" s="138"/>
      <x:c r="K153" s="138"/>
      <x:c r="L153" s="138"/>
      <x:c r="M153" s="138"/>
      <x:c r="N153" s="138"/>
      <x:c r="O153" s="138"/>
      <x:c r="P153" s="138"/>
      <x:c r="Q153" s="138"/>
      <x:c r="R153" s="138"/>
      <x:c r="S153" s="138"/>
      <x:c r="T153" s="138"/>
      <x:c r="U153" s="138"/>
      <x:c r="V153" s="138"/>
      <x:c r="W153" s="138"/>
      <x:c r="X153" s="138"/>
      <x:c r="Y153" s="138"/>
      <x:c r="Z153" s="138"/>
    </x:row>
    <x:row r="154">
      <x:c r="A154" s="138"/>
      <x:c r="B154" s="138"/>
      <x:c r="C154" s="138"/>
      <x:c r="D154" s="138"/>
      <x:c r="E154" s="138"/>
      <x:c r="F154" s="138"/>
      <x:c r="G154" s="138"/>
      <x:c r="H154" s="138"/>
      <x:c r="I154" s="138"/>
      <x:c r="J154" s="138"/>
      <x:c r="K154" s="138"/>
      <x:c r="L154" s="138"/>
      <x:c r="M154" s="138"/>
      <x:c r="N154" s="138"/>
      <x:c r="O154" s="138"/>
      <x:c r="P154" s="138"/>
      <x:c r="Q154" s="138"/>
      <x:c r="R154" s="138"/>
      <x:c r="S154" s="138"/>
      <x:c r="T154" s="138"/>
      <x:c r="U154" s="138"/>
      <x:c r="V154" s="138"/>
      <x:c r="W154" s="138"/>
      <x:c r="X154" s="138"/>
      <x:c r="Y154" s="138"/>
      <x:c r="Z154" s="138"/>
    </x:row>
    <x:row r="155">
      <x:c r="A155" s="138"/>
      <x:c r="B155" s="138"/>
      <x:c r="C155" s="138"/>
      <x:c r="D155" s="138"/>
      <x:c r="E155" s="138"/>
      <x:c r="F155" s="138"/>
      <x:c r="G155" s="138"/>
      <x:c r="H155" s="138"/>
      <x:c r="I155" s="138"/>
      <x:c r="J155" s="138"/>
      <x:c r="K155" s="138"/>
      <x:c r="L155" s="138"/>
      <x:c r="M155" s="138"/>
      <x:c r="N155" s="138"/>
      <x:c r="O155" s="138"/>
      <x:c r="P155" s="138"/>
      <x:c r="Q155" s="138"/>
      <x:c r="R155" s="138"/>
      <x:c r="S155" s="138"/>
      <x:c r="T155" s="138"/>
      <x:c r="U155" s="138"/>
      <x:c r="V155" s="138"/>
      <x:c r="W155" s="138"/>
      <x:c r="X155" s="138"/>
      <x:c r="Y155" s="138"/>
      <x:c r="Z155" s="138"/>
    </x:row>
    <x:row r="156">
      <x:c r="A156" s="138"/>
      <x:c r="B156" s="138"/>
      <x:c r="C156" s="138"/>
      <x:c r="D156" s="138"/>
      <x:c r="E156" s="138"/>
      <x:c r="F156" s="138"/>
      <x:c r="G156" s="138"/>
      <x:c r="H156" s="138"/>
      <x:c r="I156" s="138"/>
      <x:c r="J156" s="138"/>
      <x:c r="K156" s="138"/>
      <x:c r="L156" s="138"/>
      <x:c r="M156" s="138"/>
      <x:c r="N156" s="138"/>
      <x:c r="O156" s="138"/>
      <x:c r="P156" s="138"/>
      <x:c r="Q156" s="138"/>
      <x:c r="R156" s="138"/>
      <x:c r="S156" s="138"/>
      <x:c r="T156" s="138"/>
      <x:c r="U156" s="138"/>
      <x:c r="V156" s="138"/>
      <x:c r="W156" s="138"/>
      <x:c r="X156" s="138"/>
      <x:c r="Y156" s="138"/>
      <x:c r="Z156" s="138"/>
    </x:row>
    <x:row r="157">
      <x:c r="A157" s="138"/>
      <x:c r="B157" s="138"/>
      <x:c r="C157" s="138"/>
      <x:c r="D157" s="138"/>
      <x:c r="E157" s="138"/>
      <x:c r="F157" s="138"/>
      <x:c r="G157" s="138"/>
      <x:c r="H157" s="138"/>
      <x:c r="I157" s="138"/>
      <x:c r="J157" s="138"/>
      <x:c r="K157" s="138"/>
      <x:c r="L157" s="138"/>
      <x:c r="M157" s="138"/>
      <x:c r="N157" s="138"/>
      <x:c r="O157" s="138"/>
      <x:c r="P157" s="138"/>
      <x:c r="Q157" s="138"/>
      <x:c r="R157" s="138"/>
      <x:c r="S157" s="138"/>
      <x:c r="T157" s="138"/>
      <x:c r="U157" s="138"/>
      <x:c r="V157" s="138"/>
      <x:c r="W157" s="138"/>
      <x:c r="X157" s="138"/>
      <x:c r="Y157" s="138"/>
      <x:c r="Z157" s="138"/>
    </x:row>
    <x:row r="158">
      <x:c r="A158" s="138"/>
      <x:c r="B158" s="138"/>
      <x:c r="C158" s="138"/>
      <x:c r="D158" s="138"/>
      <x:c r="E158" s="138"/>
      <x:c r="F158" s="138"/>
      <x:c r="G158" s="138"/>
      <x:c r="H158" s="138"/>
      <x:c r="I158" s="138"/>
      <x:c r="J158" s="138"/>
      <x:c r="K158" s="138"/>
      <x:c r="L158" s="138"/>
      <x:c r="M158" s="138"/>
      <x:c r="N158" s="138"/>
      <x:c r="O158" s="138"/>
      <x:c r="P158" s="138"/>
      <x:c r="Q158" s="138"/>
      <x:c r="R158" s="138"/>
      <x:c r="S158" s="138"/>
      <x:c r="T158" s="138"/>
      <x:c r="U158" s="138"/>
      <x:c r="V158" s="138"/>
      <x:c r="W158" s="138"/>
      <x:c r="X158" s="138"/>
      <x:c r="Y158" s="138"/>
      <x:c r="Z158" s="138"/>
    </x:row>
    <x:row r="159">
      <x:c r="A159" s="138"/>
      <x:c r="B159" s="138"/>
      <x:c r="C159" s="138"/>
      <x:c r="D159" s="138"/>
      <x:c r="E159" s="138"/>
      <x:c r="F159" s="138"/>
      <x:c r="G159" s="138"/>
      <x:c r="H159" s="138"/>
      <x:c r="I159" s="138"/>
      <x:c r="J159" s="138"/>
      <x:c r="K159" s="138"/>
      <x:c r="L159" s="138"/>
      <x:c r="M159" s="138"/>
      <x:c r="N159" s="138"/>
      <x:c r="O159" s="138"/>
      <x:c r="P159" s="138"/>
      <x:c r="Q159" s="138"/>
      <x:c r="R159" s="138"/>
      <x:c r="S159" s="138"/>
      <x:c r="T159" s="138"/>
      <x:c r="U159" s="138"/>
      <x:c r="V159" s="138"/>
      <x:c r="W159" s="138"/>
      <x:c r="X159" s="138"/>
      <x:c r="Y159" s="138"/>
      <x:c r="Z159" s="138"/>
    </x:row>
    <x:row r="160">
      <x:c r="A160" s="138"/>
      <x:c r="B160" s="138"/>
      <x:c r="C160" s="138"/>
      <x:c r="D160" s="138"/>
      <x:c r="E160" s="138"/>
      <x:c r="F160" s="138"/>
      <x:c r="G160" s="138"/>
      <x:c r="H160" s="138"/>
      <x:c r="I160" s="138"/>
      <x:c r="J160" s="138"/>
      <x:c r="K160" s="138"/>
      <x:c r="L160" s="138"/>
      <x:c r="M160" s="138"/>
      <x:c r="N160" s="138"/>
      <x:c r="O160" s="138"/>
      <x:c r="P160" s="138"/>
      <x:c r="Q160" s="138"/>
      <x:c r="R160" s="138"/>
      <x:c r="S160" s="138"/>
      <x:c r="T160" s="138"/>
      <x:c r="U160" s="138"/>
      <x:c r="V160" s="138"/>
      <x:c r="W160" s="138"/>
      <x:c r="X160" s="138"/>
      <x:c r="Y160" s="138"/>
      <x:c r="Z160" s="138"/>
    </x:row>
    <x:row r="161">
      <x:c r="A161" s="138"/>
      <x:c r="B161" s="138"/>
      <x:c r="C161" s="138"/>
      <x:c r="D161" s="138"/>
      <x:c r="E161" s="138"/>
      <x:c r="F161" s="138"/>
      <x:c r="G161" s="138"/>
      <x:c r="H161" s="138"/>
      <x:c r="I161" s="138"/>
      <x:c r="J161" s="138"/>
      <x:c r="K161" s="138"/>
      <x:c r="L161" s="138"/>
      <x:c r="M161" s="138"/>
      <x:c r="N161" s="138"/>
      <x:c r="O161" s="138"/>
      <x:c r="P161" s="138"/>
      <x:c r="Q161" s="138"/>
      <x:c r="R161" s="138"/>
      <x:c r="S161" s="138"/>
      <x:c r="T161" s="138"/>
      <x:c r="U161" s="138"/>
      <x:c r="V161" s="138"/>
      <x:c r="W161" s="138"/>
      <x:c r="X161" s="138"/>
      <x:c r="Y161" s="138"/>
      <x:c r="Z161" s="138"/>
    </x:row>
    <x:row r="162">
      <x:c r="A162" s="138"/>
      <x:c r="B162" s="138"/>
      <x:c r="C162" s="138"/>
      <x:c r="D162" s="138"/>
      <x:c r="E162" s="138"/>
      <x:c r="F162" s="138"/>
      <x:c r="G162" s="138"/>
      <x:c r="H162" s="138"/>
      <x:c r="I162" s="138"/>
      <x:c r="J162" s="138"/>
      <x:c r="K162" s="138"/>
      <x:c r="L162" s="138"/>
      <x:c r="M162" s="138"/>
      <x:c r="N162" s="138"/>
      <x:c r="O162" s="138"/>
      <x:c r="P162" s="138"/>
      <x:c r="Q162" s="138"/>
      <x:c r="R162" s="138"/>
      <x:c r="S162" s="138"/>
      <x:c r="T162" s="138"/>
      <x:c r="U162" s="138"/>
      <x:c r="V162" s="138"/>
      <x:c r="W162" s="138"/>
      <x:c r="X162" s="138"/>
      <x:c r="Y162" s="138"/>
      <x:c r="Z162" s="138"/>
    </x:row>
    <x:row r="163">
      <x:c r="A163" s="138"/>
      <x:c r="B163" s="138"/>
      <x:c r="C163" s="138"/>
      <x:c r="D163" s="138"/>
      <x:c r="E163" s="138"/>
      <x:c r="F163" s="138"/>
      <x:c r="G163" s="138"/>
      <x:c r="H163" s="138"/>
      <x:c r="I163" s="138"/>
      <x:c r="J163" s="138"/>
      <x:c r="K163" s="138"/>
      <x:c r="L163" s="138"/>
      <x:c r="M163" s="138"/>
      <x:c r="N163" s="138"/>
      <x:c r="O163" s="138"/>
      <x:c r="P163" s="138"/>
      <x:c r="Q163" s="138"/>
      <x:c r="R163" s="138"/>
      <x:c r="S163" s="138"/>
      <x:c r="T163" s="138"/>
      <x:c r="U163" s="138"/>
      <x:c r="V163" s="138"/>
      <x:c r="W163" s="138"/>
      <x:c r="X163" s="138"/>
      <x:c r="Y163" s="138"/>
      <x:c r="Z163" s="138"/>
    </x:row>
    <x:row r="164">
      <x:c r="A164" s="138"/>
      <x:c r="B164" s="138"/>
      <x:c r="C164" s="138"/>
      <x:c r="D164" s="138"/>
      <x:c r="E164" s="138"/>
      <x:c r="F164" s="138"/>
      <x:c r="G164" s="138"/>
      <x:c r="H164" s="138"/>
      <x:c r="I164" s="138"/>
      <x:c r="J164" s="138"/>
      <x:c r="K164" s="138"/>
      <x:c r="L164" s="138"/>
      <x:c r="M164" s="138"/>
      <x:c r="N164" s="138"/>
      <x:c r="O164" s="138"/>
      <x:c r="P164" s="138"/>
      <x:c r="Q164" s="138"/>
      <x:c r="R164" s="138"/>
      <x:c r="S164" s="138"/>
      <x:c r="T164" s="138"/>
      <x:c r="U164" s="138"/>
      <x:c r="V164" s="138"/>
      <x:c r="W164" s="138"/>
      <x:c r="X164" s="138"/>
      <x:c r="Y164" s="138"/>
      <x:c r="Z164" s="138"/>
    </x:row>
    <x:row r="165">
      <x:c r="A165" s="138"/>
      <x:c r="B165" s="138"/>
      <x:c r="C165" s="138"/>
      <x:c r="D165" s="138"/>
      <x:c r="E165" s="138"/>
      <x:c r="F165" s="138"/>
      <x:c r="G165" s="138"/>
      <x:c r="H165" s="138"/>
      <x:c r="I165" s="138"/>
      <x:c r="J165" s="138"/>
      <x:c r="K165" s="138"/>
      <x:c r="L165" s="138"/>
      <x:c r="M165" s="138"/>
      <x:c r="N165" s="138"/>
      <x:c r="O165" s="138"/>
      <x:c r="P165" s="138"/>
      <x:c r="Q165" s="138"/>
      <x:c r="R165" s="138"/>
      <x:c r="S165" s="138"/>
      <x:c r="T165" s="138"/>
      <x:c r="U165" s="138"/>
      <x:c r="V165" s="138"/>
      <x:c r="W165" s="138"/>
      <x:c r="X165" s="138"/>
      <x:c r="Y165" s="138"/>
      <x:c r="Z165" s="138"/>
    </x:row>
    <x:row r="166">
      <x:c r="A166" s="138"/>
      <x:c r="B166" s="138"/>
      <x:c r="C166" s="138"/>
      <x:c r="D166" s="138"/>
      <x:c r="E166" s="138"/>
      <x:c r="F166" s="138"/>
      <x:c r="G166" s="138"/>
      <x:c r="H166" s="138"/>
      <x:c r="I166" s="138"/>
      <x:c r="J166" s="138"/>
      <x:c r="K166" s="138"/>
      <x:c r="L166" s="138"/>
      <x:c r="M166" s="138"/>
      <x:c r="N166" s="138"/>
      <x:c r="O166" s="138"/>
      <x:c r="P166" s="138"/>
      <x:c r="Q166" s="138"/>
      <x:c r="R166" s="138"/>
      <x:c r="S166" s="138"/>
      <x:c r="T166" s="138"/>
      <x:c r="U166" s="138"/>
      <x:c r="V166" s="138"/>
      <x:c r="W166" s="138"/>
      <x:c r="X166" s="138"/>
      <x:c r="Y166" s="138"/>
      <x:c r="Z166" s="138"/>
    </x:row>
    <x:row r="167">
      <x:c r="A167" s="138"/>
      <x:c r="B167" s="138"/>
      <x:c r="C167" s="138"/>
      <x:c r="D167" s="138"/>
      <x:c r="E167" s="138"/>
      <x:c r="F167" s="138"/>
      <x:c r="G167" s="138"/>
      <x:c r="H167" s="138"/>
      <x:c r="I167" s="138"/>
      <x:c r="J167" s="138"/>
      <x:c r="K167" s="138"/>
      <x:c r="L167" s="138"/>
      <x:c r="M167" s="138"/>
      <x:c r="N167" s="138"/>
      <x:c r="O167" s="138"/>
      <x:c r="P167" s="138"/>
      <x:c r="Q167" s="138"/>
      <x:c r="R167" s="138"/>
      <x:c r="S167" s="138"/>
      <x:c r="T167" s="138"/>
      <x:c r="U167" s="138"/>
      <x:c r="V167" s="138"/>
      <x:c r="W167" s="138"/>
      <x:c r="X167" s="138"/>
      <x:c r="Y167" s="138"/>
      <x:c r="Z167" s="138"/>
    </x:row>
    <x:row r="168">
      <x:c r="A168" s="138"/>
      <x:c r="B168" s="138"/>
      <x:c r="C168" s="138"/>
      <x:c r="D168" s="138"/>
      <x:c r="E168" s="138"/>
      <x:c r="F168" s="138"/>
      <x:c r="G168" s="138"/>
      <x:c r="H168" s="138"/>
      <x:c r="I168" s="138"/>
      <x:c r="J168" s="138"/>
      <x:c r="K168" s="138"/>
      <x:c r="L168" s="138"/>
      <x:c r="M168" s="138"/>
      <x:c r="N168" s="138"/>
      <x:c r="O168" s="138"/>
      <x:c r="P168" s="138"/>
      <x:c r="Q168" s="138"/>
      <x:c r="R168" s="138"/>
      <x:c r="S168" s="138"/>
      <x:c r="T168" s="138"/>
      <x:c r="U168" s="138"/>
      <x:c r="V168" s="138"/>
      <x:c r="W168" s="138"/>
      <x:c r="X168" s="138"/>
      <x:c r="Y168" s="138"/>
      <x:c r="Z168" s="138"/>
    </x:row>
    <x:row r="169">
      <x:c r="A169" s="138"/>
      <x:c r="B169" s="138"/>
      <x:c r="C169" s="138"/>
      <x:c r="D169" s="138"/>
      <x:c r="E169" s="138"/>
      <x:c r="F169" s="138"/>
      <x:c r="G169" s="138"/>
      <x:c r="H169" s="138"/>
      <x:c r="I169" s="138"/>
      <x:c r="J169" s="138"/>
      <x:c r="K169" s="138"/>
      <x:c r="L169" s="138"/>
      <x:c r="M169" s="138"/>
      <x:c r="N169" s="138"/>
      <x:c r="O169" s="138"/>
      <x:c r="P169" s="138"/>
      <x:c r="Q169" s="138"/>
      <x:c r="R169" s="138"/>
      <x:c r="S169" s="138"/>
      <x:c r="T169" s="138"/>
      <x:c r="U169" s="138"/>
      <x:c r="V169" s="138"/>
      <x:c r="W169" s="138"/>
      <x:c r="X169" s="138"/>
      <x:c r="Y169" s="138"/>
      <x:c r="Z169" s="138"/>
    </x:row>
    <x:row r="170">
      <x:c r="A170" s="138"/>
      <x:c r="B170" s="138"/>
      <x:c r="C170" s="138"/>
      <x:c r="D170" s="138"/>
      <x:c r="E170" s="138"/>
      <x:c r="F170" s="138"/>
      <x:c r="G170" s="138"/>
      <x:c r="H170" s="138"/>
      <x:c r="I170" s="138"/>
      <x:c r="J170" s="138"/>
      <x:c r="K170" s="138"/>
      <x:c r="L170" s="138"/>
      <x:c r="M170" s="138"/>
      <x:c r="N170" s="138"/>
      <x:c r="O170" s="138"/>
      <x:c r="P170" s="138"/>
      <x:c r="Q170" s="138"/>
      <x:c r="R170" s="138"/>
      <x:c r="S170" s="138"/>
      <x:c r="T170" s="138"/>
      <x:c r="U170" s="138"/>
      <x:c r="V170" s="138"/>
      <x:c r="W170" s="138"/>
      <x:c r="X170" s="138"/>
      <x:c r="Y170" s="138"/>
      <x:c r="Z170" s="138"/>
    </x:row>
    <x:row r="171">
      <x:c r="A171" s="138"/>
      <x:c r="B171" s="138"/>
      <x:c r="C171" s="138"/>
      <x:c r="D171" s="138"/>
      <x:c r="E171" s="138"/>
      <x:c r="F171" s="138"/>
      <x:c r="G171" s="138"/>
      <x:c r="H171" s="138"/>
      <x:c r="I171" s="138"/>
      <x:c r="J171" s="138"/>
      <x:c r="K171" s="138"/>
      <x:c r="L171" s="138"/>
      <x:c r="M171" s="138"/>
      <x:c r="N171" s="138"/>
      <x:c r="O171" s="138"/>
      <x:c r="P171" s="138"/>
      <x:c r="Q171" s="138"/>
      <x:c r="R171" s="138"/>
      <x:c r="S171" s="138"/>
      <x:c r="T171" s="138"/>
      <x:c r="U171" s="138"/>
      <x:c r="V171" s="138"/>
      <x:c r="W171" s="138"/>
      <x:c r="X171" s="138"/>
      <x:c r="Y171" s="138"/>
      <x:c r="Z171" s="138"/>
    </x:row>
    <x:row r="172">
      <x:c r="A172" s="138"/>
      <x:c r="B172" s="138"/>
      <x:c r="C172" s="138"/>
      <x:c r="D172" s="138"/>
      <x:c r="E172" s="138"/>
      <x:c r="F172" s="138"/>
      <x:c r="G172" s="138"/>
      <x:c r="H172" s="138"/>
      <x:c r="I172" s="138"/>
      <x:c r="J172" s="138"/>
      <x:c r="K172" s="138"/>
      <x:c r="L172" s="138"/>
      <x:c r="M172" s="138"/>
      <x:c r="N172" s="138"/>
      <x:c r="O172" s="138"/>
      <x:c r="P172" s="138"/>
      <x:c r="Q172" s="138"/>
      <x:c r="R172" s="138"/>
      <x:c r="S172" s="138"/>
      <x:c r="T172" s="138"/>
      <x:c r="U172" s="138"/>
      <x:c r="V172" s="138"/>
      <x:c r="W172" s="138"/>
      <x:c r="X172" s="138"/>
      <x:c r="Y172" s="138"/>
      <x:c r="Z172" s="138"/>
    </x:row>
    <x:row r="173">
      <x:c r="A173" s="138"/>
      <x:c r="B173" s="138"/>
      <x:c r="C173" s="138"/>
      <x:c r="D173" s="138"/>
      <x:c r="E173" s="138"/>
      <x:c r="F173" s="138"/>
      <x:c r="G173" s="138"/>
      <x:c r="H173" s="138"/>
      <x:c r="I173" s="138"/>
      <x:c r="J173" s="138"/>
      <x:c r="K173" s="138"/>
      <x:c r="L173" s="138"/>
      <x:c r="M173" s="138"/>
      <x:c r="N173" s="138"/>
      <x:c r="O173" s="138"/>
      <x:c r="P173" s="138"/>
      <x:c r="Q173" s="138"/>
      <x:c r="R173" s="138"/>
      <x:c r="S173" s="138"/>
      <x:c r="T173" s="138"/>
      <x:c r="U173" s="138"/>
      <x:c r="V173" s="138"/>
      <x:c r="W173" s="138"/>
      <x:c r="X173" s="138"/>
      <x:c r="Y173" s="138"/>
      <x:c r="Z173" s="138"/>
    </x:row>
    <x:row r="174">
      <x:c r="A174" s="138"/>
      <x:c r="B174" s="138"/>
      <x:c r="C174" s="138"/>
      <x:c r="D174" s="138"/>
      <x:c r="E174" s="138"/>
      <x:c r="F174" s="138"/>
      <x:c r="G174" s="138"/>
      <x:c r="H174" s="138"/>
      <x:c r="I174" s="138"/>
      <x:c r="J174" s="138"/>
      <x:c r="K174" s="138"/>
      <x:c r="L174" s="138"/>
      <x:c r="M174" s="138"/>
      <x:c r="N174" s="138"/>
      <x:c r="O174" s="138"/>
      <x:c r="P174" s="138"/>
      <x:c r="Q174" s="138"/>
      <x:c r="R174" s="138"/>
      <x:c r="S174" s="138"/>
      <x:c r="T174" s="138"/>
      <x:c r="U174" s="138"/>
      <x:c r="V174" s="138"/>
      <x:c r="W174" s="138"/>
      <x:c r="X174" s="138"/>
      <x:c r="Y174" s="138"/>
      <x:c r="Z174" s="138"/>
    </x:row>
    <x:row r="175">
      <x:c r="A175" s="138"/>
      <x:c r="B175" s="138"/>
      <x:c r="C175" s="138"/>
      <x:c r="D175" s="138"/>
      <x:c r="E175" s="138"/>
      <x:c r="F175" s="138"/>
      <x:c r="G175" s="138"/>
      <x:c r="H175" s="138"/>
      <x:c r="I175" s="138"/>
      <x:c r="J175" s="138"/>
      <x:c r="K175" s="138"/>
      <x:c r="L175" s="138"/>
      <x:c r="M175" s="138"/>
      <x:c r="N175" s="138"/>
      <x:c r="O175" s="138"/>
      <x:c r="P175" s="138"/>
      <x:c r="Q175" s="138"/>
      <x:c r="R175" s="138"/>
      <x:c r="S175" s="138"/>
      <x:c r="T175" s="138"/>
      <x:c r="U175" s="138"/>
      <x:c r="V175" s="138"/>
      <x:c r="W175" s="138"/>
      <x:c r="X175" s="138"/>
      <x:c r="Y175" s="138"/>
      <x:c r="Z175" s="138"/>
    </x:row>
    <x:row r="176">
      <x:c r="A176" s="138"/>
      <x:c r="B176" s="138"/>
      <x:c r="C176" s="138"/>
      <x:c r="D176" s="138"/>
      <x:c r="E176" s="138"/>
      <x:c r="F176" s="138"/>
      <x:c r="G176" s="138"/>
      <x:c r="H176" s="138"/>
      <x:c r="I176" s="138"/>
      <x:c r="J176" s="138"/>
      <x:c r="K176" s="138"/>
      <x:c r="L176" s="138"/>
      <x:c r="M176" s="138"/>
      <x:c r="N176" s="138"/>
      <x:c r="O176" s="138"/>
      <x:c r="P176" s="138"/>
      <x:c r="Q176" s="138"/>
      <x:c r="R176" s="138"/>
      <x:c r="S176" s="138"/>
      <x:c r="T176" s="138"/>
      <x:c r="U176" s="138"/>
      <x:c r="V176" s="138"/>
      <x:c r="W176" s="138"/>
      <x:c r="X176" s="138"/>
      <x:c r="Y176" s="138"/>
      <x:c r="Z176" s="138"/>
    </x:row>
    <x:row r="177">
      <x:c r="A177" s="138"/>
      <x:c r="B177" s="138"/>
      <x:c r="C177" s="138"/>
      <x:c r="D177" s="138"/>
      <x:c r="E177" s="138"/>
      <x:c r="F177" s="138"/>
      <x:c r="G177" s="138"/>
      <x:c r="H177" s="138"/>
      <x:c r="I177" s="138"/>
      <x:c r="J177" s="138"/>
      <x:c r="K177" s="138"/>
      <x:c r="L177" s="138"/>
      <x:c r="M177" s="138"/>
      <x:c r="N177" s="138"/>
      <x:c r="O177" s="138"/>
      <x:c r="P177" s="138"/>
      <x:c r="Q177" s="138"/>
      <x:c r="R177" s="138"/>
      <x:c r="S177" s="138"/>
      <x:c r="T177" s="138"/>
      <x:c r="U177" s="138"/>
      <x:c r="V177" s="138"/>
      <x:c r="W177" s="138"/>
      <x:c r="X177" s="138"/>
      <x:c r="Y177" s="138"/>
      <x:c r="Z177" s="138"/>
    </x:row>
    <x:row r="178">
      <x:c r="A178" s="138"/>
      <x:c r="B178" s="138"/>
      <x:c r="C178" s="138"/>
      <x:c r="D178" s="138"/>
      <x:c r="E178" s="138"/>
      <x:c r="F178" s="138"/>
      <x:c r="G178" s="138"/>
      <x:c r="H178" s="138"/>
      <x:c r="I178" s="138"/>
      <x:c r="J178" s="138"/>
      <x:c r="K178" s="138"/>
      <x:c r="L178" s="138"/>
      <x:c r="M178" s="138"/>
      <x:c r="N178" s="138"/>
      <x:c r="O178" s="138"/>
      <x:c r="P178" s="138"/>
      <x:c r="Q178" s="138"/>
      <x:c r="R178" s="138"/>
      <x:c r="S178" s="138"/>
      <x:c r="T178" s="138"/>
      <x:c r="U178" s="138"/>
      <x:c r="V178" s="138"/>
      <x:c r="W178" s="138"/>
      <x:c r="X178" s="138"/>
      <x:c r="Y178" s="138"/>
      <x:c r="Z178" s="138"/>
    </x:row>
    <x:row r="179">
      <x:c r="A179" s="138"/>
      <x:c r="B179" s="138"/>
      <x:c r="C179" s="138"/>
      <x:c r="D179" s="138"/>
      <x:c r="E179" s="138"/>
      <x:c r="F179" s="138"/>
      <x:c r="G179" s="138"/>
      <x:c r="H179" s="138"/>
      <x:c r="I179" s="138"/>
      <x:c r="J179" s="138"/>
      <x:c r="K179" s="138"/>
      <x:c r="L179" s="138"/>
      <x:c r="M179" s="138"/>
      <x:c r="N179" s="138"/>
      <x:c r="O179" s="138"/>
      <x:c r="P179" s="138"/>
      <x:c r="Q179" s="138"/>
      <x:c r="R179" s="138"/>
      <x:c r="S179" s="138"/>
      <x:c r="T179" s="138"/>
      <x:c r="U179" s="138"/>
      <x:c r="V179" s="138"/>
      <x:c r="W179" s="138"/>
      <x:c r="X179" s="138"/>
      <x:c r="Y179" s="138"/>
      <x:c r="Z179" s="138"/>
    </x:row>
    <x:row r="180">
      <x:c r="A180" s="138"/>
      <x:c r="B180" s="138"/>
      <x:c r="C180" s="138"/>
      <x:c r="D180" s="138"/>
      <x:c r="E180" s="138"/>
      <x:c r="F180" s="138"/>
      <x:c r="G180" s="138"/>
      <x:c r="H180" s="138"/>
      <x:c r="I180" s="138"/>
      <x:c r="J180" s="138"/>
      <x:c r="K180" s="138"/>
      <x:c r="L180" s="138"/>
      <x:c r="M180" s="138"/>
      <x:c r="N180" s="138"/>
      <x:c r="O180" s="138"/>
      <x:c r="P180" s="138"/>
      <x:c r="Q180" s="138"/>
      <x:c r="R180" s="138"/>
      <x:c r="S180" s="138"/>
      <x:c r="T180" s="138"/>
      <x:c r="U180" s="138"/>
      <x:c r="V180" s="138"/>
      <x:c r="W180" s="138"/>
      <x:c r="X180" s="138"/>
      <x:c r="Y180" s="138"/>
      <x:c r="Z180" s="138"/>
    </x:row>
    <x:row r="181">
      <x:c r="A181" s="138"/>
      <x:c r="B181" s="138"/>
      <x:c r="C181" s="138"/>
      <x:c r="D181" s="138"/>
      <x:c r="E181" s="138"/>
      <x:c r="F181" s="138"/>
      <x:c r="G181" s="138"/>
      <x:c r="H181" s="138"/>
      <x:c r="I181" s="138"/>
      <x:c r="J181" s="138"/>
      <x:c r="K181" s="138"/>
      <x:c r="L181" s="138"/>
      <x:c r="M181" s="138"/>
      <x:c r="N181" s="138"/>
      <x:c r="O181" s="138"/>
      <x:c r="P181" s="138"/>
      <x:c r="Q181" s="138"/>
      <x:c r="R181" s="138"/>
      <x:c r="S181" s="138"/>
      <x:c r="T181" s="138"/>
      <x:c r="U181" s="138"/>
      <x:c r="V181" s="138"/>
      <x:c r="W181" s="138"/>
      <x:c r="X181" s="138"/>
      <x:c r="Y181" s="138"/>
      <x:c r="Z181" s="138"/>
    </x:row>
    <x:row r="182">
      <x:c r="A182" s="138"/>
      <x:c r="B182" s="138"/>
      <x:c r="C182" s="138"/>
      <x:c r="D182" s="138"/>
      <x:c r="E182" s="138"/>
      <x:c r="F182" s="138"/>
      <x:c r="G182" s="138"/>
      <x:c r="H182" s="138"/>
      <x:c r="I182" s="138"/>
      <x:c r="J182" s="138"/>
      <x:c r="K182" s="138"/>
      <x:c r="L182" s="138"/>
      <x:c r="M182" s="138"/>
      <x:c r="N182" s="138"/>
      <x:c r="O182" s="138"/>
      <x:c r="P182" s="138"/>
      <x:c r="Q182" s="138"/>
      <x:c r="R182" s="138"/>
      <x:c r="S182" s="138"/>
      <x:c r="T182" s="138"/>
      <x:c r="U182" s="138"/>
      <x:c r="V182" s="138"/>
      <x:c r="W182" s="138"/>
      <x:c r="X182" s="138"/>
      <x:c r="Y182" s="138"/>
      <x:c r="Z182" s="138"/>
    </x:row>
    <x:row r="183">
      <x:c r="A183" s="138"/>
      <x:c r="B183" s="138"/>
      <x:c r="C183" s="138"/>
      <x:c r="D183" s="138"/>
      <x:c r="E183" s="138"/>
      <x:c r="F183" s="138"/>
      <x:c r="G183" s="138"/>
      <x:c r="H183" s="138"/>
      <x:c r="I183" s="138"/>
      <x:c r="J183" s="138"/>
      <x:c r="K183" s="138"/>
      <x:c r="L183" s="138"/>
      <x:c r="M183" s="138"/>
      <x:c r="N183" s="138"/>
      <x:c r="O183" s="138"/>
      <x:c r="P183" s="138"/>
      <x:c r="Q183" s="138"/>
      <x:c r="R183" s="138"/>
      <x:c r="S183" s="138"/>
      <x:c r="T183" s="138"/>
      <x:c r="U183" s="138"/>
      <x:c r="V183" s="138"/>
      <x:c r="W183" s="138"/>
      <x:c r="X183" s="138"/>
      <x:c r="Y183" s="138"/>
      <x:c r="Z183" s="138"/>
    </x:row>
    <x:row r="184">
      <x:c r="A184" s="138"/>
      <x:c r="B184" s="138"/>
      <x:c r="C184" s="138"/>
      <x:c r="D184" s="138"/>
      <x:c r="E184" s="138"/>
      <x:c r="F184" s="138"/>
      <x:c r="G184" s="138"/>
      <x:c r="H184" s="138"/>
      <x:c r="I184" s="138"/>
      <x:c r="J184" s="138"/>
      <x:c r="K184" s="138"/>
      <x:c r="L184" s="138"/>
      <x:c r="M184" s="138"/>
      <x:c r="N184" s="138"/>
      <x:c r="O184" s="138"/>
      <x:c r="P184" s="138"/>
      <x:c r="Q184" s="138"/>
      <x:c r="R184" s="138"/>
      <x:c r="S184" s="138"/>
      <x:c r="T184" s="138"/>
      <x:c r="U184" s="138"/>
      <x:c r="V184" s="138"/>
      <x:c r="W184" s="138"/>
      <x:c r="X184" s="138"/>
      <x:c r="Y184" s="138"/>
      <x:c r="Z184" s="138"/>
    </x:row>
    <x:row r="185">
      <x:c r="A185" s="138"/>
      <x:c r="B185" s="138"/>
      <x:c r="C185" s="138"/>
      <x:c r="D185" s="138"/>
      <x:c r="E185" s="138"/>
      <x:c r="F185" s="138"/>
      <x:c r="G185" s="138"/>
      <x:c r="H185" s="138"/>
      <x:c r="I185" s="138"/>
      <x:c r="J185" s="138"/>
      <x:c r="K185" s="138"/>
      <x:c r="L185" s="138"/>
      <x:c r="M185" s="138"/>
      <x:c r="N185" s="138"/>
      <x:c r="O185" s="138"/>
      <x:c r="P185" s="138"/>
      <x:c r="Q185" s="138"/>
      <x:c r="R185" s="138"/>
      <x:c r="S185" s="138"/>
      <x:c r="T185" s="138"/>
      <x:c r="U185" s="138"/>
      <x:c r="V185" s="138"/>
      <x:c r="W185" s="138"/>
      <x:c r="X185" s="138"/>
      <x:c r="Y185" s="138"/>
      <x:c r="Z185" s="138"/>
    </x:row>
    <x:row r="186">
      <x:c r="A186" s="138"/>
      <x:c r="B186" s="138"/>
      <x:c r="C186" s="138"/>
      <x:c r="D186" s="138"/>
      <x:c r="E186" s="138"/>
      <x:c r="F186" s="138"/>
      <x:c r="G186" s="138"/>
      <x:c r="H186" s="138"/>
      <x:c r="I186" s="138"/>
      <x:c r="J186" s="138"/>
      <x:c r="K186" s="138"/>
      <x:c r="L186" s="138"/>
      <x:c r="M186" s="138"/>
      <x:c r="N186" s="138"/>
      <x:c r="O186" s="138"/>
      <x:c r="P186" s="138"/>
      <x:c r="Q186" s="138"/>
      <x:c r="R186" s="138"/>
      <x:c r="S186" s="138"/>
      <x:c r="T186" s="138"/>
      <x:c r="U186" s="138"/>
      <x:c r="V186" s="138"/>
      <x:c r="W186" s="138"/>
      <x:c r="X186" s="138"/>
      <x:c r="Y186" s="138"/>
      <x:c r="Z186" s="138"/>
    </x:row>
    <x:row r="187">
      <x:c r="A187" s="138"/>
      <x:c r="B187" s="138"/>
      <x:c r="C187" s="138"/>
      <x:c r="D187" s="138"/>
      <x:c r="E187" s="138"/>
      <x:c r="F187" s="138"/>
      <x:c r="G187" s="138"/>
      <x:c r="H187" s="138"/>
      <x:c r="I187" s="138"/>
      <x:c r="J187" s="138"/>
      <x:c r="K187" s="138"/>
      <x:c r="L187" s="138"/>
      <x:c r="M187" s="138"/>
      <x:c r="N187" s="138"/>
      <x:c r="O187" s="138"/>
      <x:c r="P187" s="138"/>
      <x:c r="Q187" s="138"/>
      <x:c r="R187" s="138"/>
      <x:c r="S187" s="138"/>
      <x:c r="T187" s="138"/>
      <x:c r="U187" s="138"/>
      <x:c r="V187" s="138"/>
      <x:c r="W187" s="138"/>
      <x:c r="X187" s="138"/>
      <x:c r="Y187" s="138"/>
      <x:c r="Z187" s="138"/>
    </x:row>
    <x:row r="188">
      <x:c r="A188" s="138"/>
      <x:c r="B188" s="138"/>
      <x:c r="C188" s="138"/>
      <x:c r="D188" s="138"/>
      <x:c r="E188" s="138"/>
      <x:c r="F188" s="138"/>
      <x:c r="G188" s="138"/>
      <x:c r="H188" s="138"/>
      <x:c r="I188" s="138"/>
      <x:c r="J188" s="138"/>
      <x:c r="K188" s="138"/>
      <x:c r="L188" s="138"/>
      <x:c r="M188" s="138"/>
      <x:c r="N188" s="138"/>
      <x:c r="O188" s="138"/>
      <x:c r="P188" s="138"/>
      <x:c r="Q188" s="138"/>
      <x:c r="R188" s="138"/>
      <x:c r="S188" s="138"/>
      <x:c r="T188" s="138"/>
      <x:c r="U188" s="138"/>
      <x:c r="V188" s="138"/>
      <x:c r="W188" s="138"/>
      <x:c r="X188" s="138"/>
      <x:c r="Y188" s="138"/>
      <x:c r="Z188" s="138"/>
    </x:row>
    <x:row r="189">
      <x:c r="A189" s="138"/>
      <x:c r="B189" s="138"/>
      <x:c r="C189" s="138"/>
      <x:c r="D189" s="138"/>
      <x:c r="E189" s="138"/>
      <x:c r="F189" s="138"/>
      <x:c r="G189" s="138"/>
      <x:c r="H189" s="138"/>
      <x:c r="I189" s="138"/>
      <x:c r="J189" s="138"/>
      <x:c r="K189" s="138"/>
      <x:c r="L189" s="138"/>
      <x:c r="M189" s="138"/>
      <x:c r="N189" s="138"/>
      <x:c r="O189" s="138"/>
      <x:c r="P189" s="138"/>
      <x:c r="Q189" s="138"/>
      <x:c r="R189" s="138"/>
      <x:c r="S189" s="138"/>
      <x:c r="T189" s="138"/>
      <x:c r="U189" s="138"/>
      <x:c r="V189" s="138"/>
      <x:c r="W189" s="138"/>
      <x:c r="X189" s="138"/>
      <x:c r="Y189" s="138"/>
      <x:c r="Z189" s="138"/>
    </x:row>
    <x:row r="190">
      <x:c r="A190" s="138"/>
      <x:c r="B190" s="138"/>
      <x:c r="C190" s="138"/>
      <x:c r="D190" s="138"/>
      <x:c r="E190" s="138"/>
      <x:c r="F190" s="138"/>
      <x:c r="G190" s="138"/>
      <x:c r="H190" s="138"/>
      <x:c r="I190" s="138"/>
      <x:c r="J190" s="138"/>
      <x:c r="K190" s="138"/>
      <x:c r="L190" s="138"/>
      <x:c r="M190" s="138"/>
      <x:c r="N190" s="138"/>
      <x:c r="O190" s="138"/>
      <x:c r="P190" s="138"/>
      <x:c r="Q190" s="138"/>
      <x:c r="R190" s="138"/>
      <x:c r="S190" s="138"/>
      <x:c r="T190" s="138"/>
      <x:c r="U190" s="138"/>
      <x:c r="V190" s="138"/>
      <x:c r="W190" s="138"/>
      <x:c r="X190" s="138"/>
      <x:c r="Y190" s="138"/>
      <x:c r="Z190" s="138"/>
    </x:row>
    <x:row r="191">
      <x:c r="A191" s="138"/>
      <x:c r="B191" s="138"/>
      <x:c r="C191" s="138"/>
      <x:c r="D191" s="138"/>
      <x:c r="E191" s="138"/>
      <x:c r="F191" s="138"/>
      <x:c r="G191" s="138"/>
      <x:c r="H191" s="138"/>
      <x:c r="I191" s="138"/>
      <x:c r="J191" s="138"/>
      <x:c r="K191" s="138"/>
      <x:c r="L191" s="138"/>
      <x:c r="M191" s="138"/>
      <x:c r="N191" s="138"/>
      <x:c r="O191" s="138"/>
      <x:c r="P191" s="138"/>
      <x:c r="Q191" s="138"/>
      <x:c r="R191" s="138"/>
      <x:c r="S191" s="138"/>
      <x:c r="T191" s="138"/>
      <x:c r="U191" s="138"/>
      <x:c r="V191" s="138"/>
      <x:c r="W191" s="138"/>
      <x:c r="X191" s="138"/>
      <x:c r="Y191" s="138"/>
      <x:c r="Z191" s="138"/>
    </x:row>
    <x:row r="192">
      <x:c r="A192" s="138"/>
      <x:c r="B192" s="138"/>
      <x:c r="C192" s="138"/>
      <x:c r="D192" s="138"/>
      <x:c r="E192" s="138"/>
      <x:c r="F192" s="138"/>
      <x:c r="G192" s="138"/>
      <x:c r="H192" s="138"/>
      <x:c r="I192" s="138"/>
      <x:c r="J192" s="138"/>
      <x:c r="K192" s="138"/>
      <x:c r="L192" s="138"/>
      <x:c r="M192" s="138"/>
      <x:c r="N192" s="138"/>
      <x:c r="O192" s="138"/>
      <x:c r="P192" s="138"/>
      <x:c r="Q192" s="138"/>
      <x:c r="R192" s="138"/>
      <x:c r="S192" s="138"/>
      <x:c r="T192" s="138"/>
      <x:c r="U192" s="138"/>
      <x:c r="V192" s="138"/>
      <x:c r="W192" s="138"/>
      <x:c r="X192" s="138"/>
      <x:c r="Y192" s="138"/>
      <x:c r="Z192" s="138"/>
    </x:row>
    <x:row r="193">
      <x:c r="A193" s="138"/>
      <x:c r="B193" s="138"/>
      <x:c r="C193" s="138"/>
      <x:c r="D193" s="138"/>
      <x:c r="E193" s="138"/>
      <x:c r="F193" s="138"/>
      <x:c r="G193" s="138"/>
      <x:c r="H193" s="138"/>
      <x:c r="I193" s="138"/>
      <x:c r="J193" s="138"/>
      <x:c r="K193" s="138"/>
      <x:c r="L193" s="138"/>
      <x:c r="M193" s="138"/>
      <x:c r="N193" s="138"/>
      <x:c r="O193" s="138"/>
      <x:c r="P193" s="138"/>
      <x:c r="Q193" s="138"/>
      <x:c r="R193" s="138"/>
      <x:c r="S193" s="138"/>
      <x:c r="T193" s="138"/>
      <x:c r="U193" s="138"/>
      <x:c r="V193" s="138"/>
      <x:c r="W193" s="138"/>
      <x:c r="X193" s="138"/>
      <x:c r="Y193" s="138"/>
      <x:c r="Z193" s="138"/>
    </x:row>
    <x:row r="194">
      <x:c r="A194" s="138"/>
      <x:c r="B194" s="138"/>
      <x:c r="C194" s="138"/>
      <x:c r="D194" s="138"/>
      <x:c r="E194" s="138"/>
      <x:c r="F194" s="138"/>
      <x:c r="G194" s="138"/>
      <x:c r="H194" s="138"/>
      <x:c r="I194" s="138"/>
      <x:c r="J194" s="138"/>
      <x:c r="K194" s="138"/>
      <x:c r="L194" s="138"/>
      <x:c r="M194" s="138"/>
      <x:c r="N194" s="138"/>
      <x:c r="O194" s="138"/>
      <x:c r="P194" s="138"/>
      <x:c r="Q194" s="138"/>
      <x:c r="R194" s="138"/>
      <x:c r="S194" s="138"/>
      <x:c r="T194" s="138"/>
      <x:c r="U194" s="138"/>
      <x:c r="V194" s="138"/>
      <x:c r="W194" s="138"/>
      <x:c r="X194" s="138"/>
      <x:c r="Y194" s="138"/>
      <x:c r="Z194" s="138"/>
    </x:row>
    <x:row r="195">
      <x:c r="A195" s="138"/>
      <x:c r="B195" s="138"/>
      <x:c r="C195" s="138"/>
      <x:c r="D195" s="138"/>
      <x:c r="E195" s="138"/>
      <x:c r="F195" s="138"/>
      <x:c r="G195" s="138"/>
      <x:c r="H195" s="138"/>
      <x:c r="I195" s="138"/>
      <x:c r="J195" s="138"/>
      <x:c r="K195" s="138"/>
      <x:c r="L195" s="138"/>
      <x:c r="M195" s="138"/>
      <x:c r="N195" s="138"/>
      <x:c r="O195" s="138"/>
      <x:c r="P195" s="138"/>
      <x:c r="Q195" s="138"/>
      <x:c r="R195" s="138"/>
      <x:c r="S195" s="138"/>
      <x:c r="T195" s="138"/>
      <x:c r="U195" s="138"/>
      <x:c r="V195" s="138"/>
      <x:c r="W195" s="138"/>
      <x:c r="X195" s="138"/>
      <x:c r="Y195" s="138"/>
      <x:c r="Z195" s="138"/>
    </x:row>
    <x:row r="196">
      <x:c r="A196" s="138"/>
      <x:c r="B196" s="138"/>
      <x:c r="C196" s="138"/>
      <x:c r="D196" s="138"/>
      <x:c r="E196" s="138"/>
      <x:c r="F196" s="138"/>
      <x:c r="G196" s="138"/>
      <x:c r="H196" s="138"/>
      <x:c r="I196" s="138"/>
      <x:c r="J196" s="138"/>
      <x:c r="K196" s="138"/>
      <x:c r="L196" s="138"/>
      <x:c r="M196" s="138"/>
      <x:c r="N196" s="138"/>
      <x:c r="O196" s="138"/>
      <x:c r="P196" s="138"/>
      <x:c r="Q196" s="138"/>
      <x:c r="R196" s="138"/>
      <x:c r="S196" s="138"/>
      <x:c r="T196" s="138"/>
      <x:c r="U196" s="138"/>
      <x:c r="V196" s="138"/>
      <x:c r="W196" s="138"/>
      <x:c r="X196" s="138"/>
      <x:c r="Y196" s="138"/>
      <x:c r="Z196" s="138"/>
    </x:row>
    <x:row r="197">
      <x:c r="A197" s="138"/>
      <x:c r="B197" s="138"/>
      <x:c r="C197" s="138"/>
      <x:c r="D197" s="138"/>
      <x:c r="E197" s="138"/>
      <x:c r="F197" s="138"/>
      <x:c r="G197" s="138"/>
      <x:c r="H197" s="138"/>
      <x:c r="I197" s="138"/>
      <x:c r="J197" s="138"/>
      <x:c r="K197" s="138"/>
      <x:c r="L197" s="138"/>
      <x:c r="M197" s="138"/>
      <x:c r="N197" s="138"/>
      <x:c r="O197" s="138"/>
      <x:c r="P197" s="138"/>
      <x:c r="Q197" s="138"/>
      <x:c r="R197" s="138"/>
      <x:c r="S197" s="138"/>
      <x:c r="T197" s="138"/>
      <x:c r="U197" s="138"/>
      <x:c r="V197" s="138"/>
      <x:c r="W197" s="138"/>
      <x:c r="X197" s="138"/>
      <x:c r="Y197" s="138"/>
      <x:c r="Z197" s="138"/>
    </x:row>
    <x:row r="198">
      <x:c r="A198" s="138"/>
      <x:c r="B198" s="138"/>
      <x:c r="C198" s="138"/>
      <x:c r="D198" s="138"/>
      <x:c r="E198" s="138"/>
      <x:c r="F198" s="138"/>
      <x:c r="G198" s="138"/>
      <x:c r="H198" s="138"/>
      <x:c r="I198" s="138"/>
      <x:c r="J198" s="138"/>
      <x:c r="K198" s="138"/>
      <x:c r="L198" s="138"/>
      <x:c r="M198" s="138"/>
      <x:c r="N198" s="138"/>
      <x:c r="O198" s="138"/>
      <x:c r="P198" s="138"/>
      <x:c r="Q198" s="138"/>
      <x:c r="R198" s="138"/>
      <x:c r="S198" s="138"/>
      <x:c r="T198" s="138"/>
      <x:c r="U198" s="138"/>
      <x:c r="V198" s="138"/>
      <x:c r="W198" s="138"/>
      <x:c r="X198" s="138"/>
      <x:c r="Y198" s="138"/>
      <x:c r="Z198" s="138"/>
    </x:row>
    <x:row r="199">
      <x:c r="A199" s="138"/>
      <x:c r="B199" s="138"/>
      <x:c r="C199" s="138"/>
      <x:c r="D199" s="138"/>
      <x:c r="E199" s="138"/>
      <x:c r="F199" s="138"/>
      <x:c r="G199" s="138"/>
      <x:c r="H199" s="138"/>
      <x:c r="I199" s="138"/>
      <x:c r="J199" s="138"/>
      <x:c r="K199" s="138"/>
      <x:c r="L199" s="138"/>
      <x:c r="M199" s="138"/>
      <x:c r="N199" s="138"/>
      <x:c r="O199" s="138"/>
      <x:c r="P199" s="138"/>
      <x:c r="Q199" s="138"/>
      <x:c r="R199" s="138"/>
      <x:c r="S199" s="138"/>
      <x:c r="T199" s="138"/>
      <x:c r="U199" s="138"/>
      <x:c r="V199" s="138"/>
      <x:c r="W199" s="138"/>
      <x:c r="X199" s="138"/>
      <x:c r="Y199" s="138"/>
      <x:c r="Z199" s="138"/>
    </x:row>
    <x:row r="200">
      <x:c r="A200" s="138"/>
      <x:c r="B200" s="138"/>
      <x:c r="C200" s="138"/>
      <x:c r="D200" s="138"/>
      <x:c r="E200" s="138"/>
      <x:c r="F200" s="138"/>
      <x:c r="G200" s="138"/>
      <x:c r="H200" s="138"/>
      <x:c r="I200" s="138"/>
      <x:c r="J200" s="138"/>
      <x:c r="K200" s="138"/>
      <x:c r="L200" s="138"/>
      <x:c r="M200" s="138"/>
      <x:c r="N200" s="138"/>
      <x:c r="O200" s="138"/>
      <x:c r="P200" s="138"/>
      <x:c r="Q200" s="138"/>
      <x:c r="R200" s="138"/>
      <x:c r="S200" s="138"/>
      <x:c r="T200" s="138"/>
      <x:c r="U200" s="138"/>
      <x:c r="V200" s="138"/>
      <x:c r="W200" s="138"/>
      <x:c r="X200" s="138"/>
      <x:c r="Y200" s="138"/>
      <x:c r="Z200" s="138"/>
    </x:row>
  </x:sheetData>
  <x:mergeCells>
    <x:mergeCell ref="A1:J1"/>
    <x:mergeCell ref="A2:J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3" max="3" width="16" hidden="0" customWidth="1"/>
    <x:col min="4" max="4" width="19" hidden="0" customWidth="1"/>
    <x:col min="5" max="5" width="16" hidden="0" customWidth="1"/>
    <x:col min="6" max="6" width="14" hidden="0" customWidth="1"/>
    <x:col min="7" max="7" width="20" hidden="0" customWidth="1"/>
    <x:col min="8" max="8" width="20" hidden="0" customWidth="1"/>
    <x:col min="9" max="9" width="20" hidden="0" customWidth="1"/>
    <x:col min="10" max="10" width="15" hidden="0" customWidth="1"/>
    <x:col min="11" max="11" width="15" hidden="0" customWidth="1"/>
    <x:col min="12" max="12" width="20" hidden="0" customWidth="1"/>
    <x:col min="13" max="13" width="18" hidden="0" customWidth="1"/>
    <x:col min="14" max="14" width="16" hidden="0" customWidth="1"/>
  </x:cols>
  <x:sheetData>
    <x:row r="1" ht="32" customHeight="1">
      <x:c r="A1" s="137" t="str">
        <x:v>Recommended Subscription Tiers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  <x:c r="V1" s="138"/>
      <x:c r="W1" s="138"/>
      <x:c r="X1" s="138"/>
      <x:c r="Y1" s="138"/>
      <x:c r="Z1" s="138"/>
    </x:row>
    <x:row r="2" ht="30" customHeight="1">
      <x:c r="A2" s="139" t="str">
        <x:v>Fixed workspace pricing with a shared org credit pool. Seats are not the billing unit; usage and monitored-universe size are.</x:v>
      </x:c>
      <x:c r="B2" s="138"/>
      <x:c r="C2" s="138"/>
      <x:c r="D2" s="138"/>
      <x:c r="E2" s="138"/>
      <x:c r="F2" s="138"/>
      <x:c r="G2" s="138"/>
      <x:c r="H2" s="138"/>
      <x:c r="I2" s="138"/>
      <x:c r="J2" s="138"/>
      <x:c r="K2" s="138"/>
      <x:c r="L2" s="138"/>
      <x:c r="M2" s="138"/>
      <x:c r="N2" s="138"/>
      <x:c r="O2" s="138"/>
      <x:c r="P2" s="138"/>
      <x:c r="Q2" s="138"/>
      <x:c r="R2" s="138"/>
      <x:c r="S2" s="138"/>
      <x:c r="T2" s="138"/>
      <x:c r="U2" s="138"/>
      <x:c r="V2" s="138"/>
      <x:c r="W2" s="138"/>
      <x:c r="X2" s="138"/>
      <x:c r="Y2" s="138"/>
      <x:c r="Z2" s="138"/>
    </x:row>
    <x:row r="3">
      <x:c r="A3" s="138"/>
      <x:c r="B3" s="138"/>
      <x:c r="C3" s="138"/>
      <x:c r="D3" s="138"/>
      <x:c r="E3" s="138"/>
      <x:c r="F3" s="138"/>
      <x:c r="G3" s="138"/>
      <x:c r="H3" s="138"/>
      <x:c r="I3" s="138"/>
      <x:c r="J3" s="138"/>
      <x:c r="K3" s="138"/>
      <x:c r="L3" s="138"/>
      <x:c r="M3" s="138"/>
      <x:c r="N3" s="138"/>
      <x:c r="O3" s="138"/>
      <x:c r="P3" s="138"/>
      <x:c r="Q3" s="138"/>
      <x:c r="R3" s="138"/>
      <x:c r="S3" s="138"/>
      <x:c r="T3" s="138"/>
      <x:c r="U3" s="138"/>
      <x:c r="V3" s="138"/>
      <x:c r="W3" s="138"/>
      <x:c r="X3" s="138"/>
      <x:c r="Y3" s="138"/>
      <x:c r="Z3" s="138"/>
    </x:row>
    <x:row r="4">
      <x:c r="A4" s="141" t="str">
        <x:v>Tier</x:v>
      </x:c>
      <x:c r="B4" s="142" t="str">
        <x:v>Monthly price $</x:v>
      </x:c>
      <x:c r="C4" s="142" t="str">
        <x:v>Included credits</x:v>
      </x:c>
      <x:c r="D4" s="142" t="str">
        <x:v>Live monitored contacts</x:v>
      </x:c>
      <x:c r="E4" s="142" t="str">
        <x:v>Sweep cadence</x:v>
      </x:c>
      <x:c r="F4" s="142" t="str">
        <x:v>Sweeps / month</x:v>
      </x:c>
      <x:c r="G4" s="142" t="str">
        <x:v>Initial triage allowance</x:v>
      </x:c>
      <x:c r="H4" s="142" t="str">
        <x:v>Import enrich hard cap / mo</x:v>
      </x:c>
      <x:c r="I4" s="142" t="str">
        <x:v>Included import spend cap</x:v>
      </x:c>
      <x:c r="J4" s="142" t="str">
        <x:v>Overage $ / 1k</x:v>
      </x:c>
      <x:c r="K4" s="142" t="str">
        <x:v>Credit COGS $</x:v>
      </x:c>
      <x:c r="L4" s="142" t="str">
        <x:v>Monitoring + refresh + provisional allowance $</x:v>
      </x:c>
      <x:c r="M4" s="142" t="str">
        <x:v>Total modeled COGS $</x:v>
      </x:c>
      <x:c r="N4" s="143" t="str">
        <x:v>Worst-case GM %</x:v>
      </x:c>
      <x:c r="O4" s="138"/>
      <x:c r="P4" s="138"/>
      <x:c r="Q4" s="138"/>
      <x:c r="R4" s="138"/>
      <x:c r="S4" s="138"/>
      <x:c r="T4" s="138"/>
      <x:c r="U4" s="138"/>
      <x:c r="V4" s="138"/>
      <x:c r="W4" s="138"/>
      <x:c r="X4" s="138"/>
      <x:c r="Y4" s="138"/>
      <x:c r="Z4" s="138"/>
    </x:row>
    <x:row r="5">
      <x:c r="A5" s="144" t="str">
        <x:v>Free</x:v>
      </x:c>
      <x:c r="B5" s="174" t="n">
        <x:v>0</x:v>
      </x:c>
      <x:c r="C5" s="175" t="n">
        <x:v>100</x:v>
      </x:c>
      <x:c r="D5" s="175" t="n">
        <x:v>100</x:v>
      </x:c>
      <x:c r="E5" s="175" t="str">
        <x:v>Monthly</x:v>
      </x:c>
      <x:c r="F5" s="175" t="n">
        <x:v>1</x:v>
      </x:c>
      <x:c r="G5" s="175" t="n">
        <x:v>500</x:v>
      </x:c>
      <x:c r="H5" s="175" t="n">
        <x:v>25</x:v>
      </x:c>
      <x:c r="I5" s="175" t="n">
        <x:v>25</x:v>
      </x:c>
      <x:c r="J5" s="176" t="n">
        <x:v>0</x:v>
      </x:c>
      <x:c r="K5" s="177" t="n">
        <x:f>C5*Assumptions!B6</x:f>
        <x:v>1</x:v>
      </x:c>
      <x:c r="L5" s="177" t="n">
        <x:f>D5*F5*Assumptions!C16+(D5*Assumptions!B27*'Action Credits'!D17)+Assumptions!B38</x:f>
        <x:v>1.4325</x:v>
      </x:c>
      <x:c r="M5" s="177" t="n">
        <x:f>K5+L5</x:f>
        <x:v>2.4325</x:v>
      </x:c>
      <x:c r="N5" s="178" t="str">
        <x:f>""</x:f>
      </x:c>
      <x:c r="O5" s="138"/>
      <x:c r="P5" s="138"/>
      <x:c r="Q5" s="138"/>
      <x:c r="R5" s="138"/>
      <x:c r="S5" s="138"/>
      <x:c r="T5" s="138"/>
      <x:c r="U5" s="138"/>
      <x:c r="V5" s="138"/>
      <x:c r="W5" s="138"/>
      <x:c r="X5" s="138"/>
      <x:c r="Y5" s="138"/>
      <x:c r="Z5" s="138"/>
    </x:row>
    <x:row r="6">
      <x:c r="A6" s="152" t="str">
        <x:v>Starter</x:v>
      </x:c>
      <x:c r="B6" s="179" t="n">
        <x:v>149</x:v>
      </x:c>
      <x:c r="C6" s="180" t="n">
        <x:v>2000</x:v>
      </x:c>
      <x:c r="D6" s="180" t="n">
        <x:v>5000</x:v>
      </x:c>
      <x:c r="E6" s="180" t="str">
        <x:v>Monthly</x:v>
      </x:c>
      <x:c r="F6" s="180" t="n">
        <x:v>1</x:v>
      </x:c>
      <x:c r="G6" s="180" t="n">
        <x:v>10000</x:v>
      </x:c>
      <x:c r="H6" s="180" t="n">
        <x:v>500</x:v>
      </x:c>
      <x:c r="I6" s="180" t="n">
        <x:v>300</x:v>
      </x:c>
      <x:c r="J6" s="181" t="n">
        <x:v>100</x:v>
      </x:c>
      <x:c r="K6" s="182" t="n">
        <x:f>C6*Assumptions!B6</x:f>
        <x:v>20</x:v>
      </x:c>
      <x:c r="L6" s="182" t="n">
        <x:f>D6*F6*Assumptions!C16+(D6*Assumptions!B27*'Action Credits'!D17)+Assumptions!B39</x:f>
        <x:v>39.625</x:v>
      </x:c>
      <x:c r="M6" s="182" t="n">
        <x:f>K6+L6</x:f>
        <x:v>59.625</x:v>
      </x:c>
      <x:c r="N6" s="183" t="n">
        <x:f>(B6-M6)/B6</x:f>
        <x:v>0.5998322147651006</x:v>
      </x:c>
      <x:c r="O6" s="138"/>
      <x:c r="P6" s="138"/>
      <x:c r="Q6" s="138"/>
      <x:c r="R6" s="138"/>
      <x:c r="S6" s="138"/>
      <x:c r="T6" s="138"/>
      <x:c r="U6" s="138"/>
      <x:c r="V6" s="138"/>
      <x:c r="W6" s="138"/>
      <x:c r="X6" s="138"/>
      <x:c r="Y6" s="138"/>
      <x:c r="Z6" s="138"/>
    </x:row>
    <x:row r="7">
      <x:c r="A7" s="147" t="str">
        <x:v>Growth</x:v>
      </x:c>
      <x:c r="B7" s="184" t="n">
        <x:v>799</x:v>
      </x:c>
      <x:c r="C7" s="185" t="n">
        <x:v>8000</x:v>
      </x:c>
      <x:c r="D7" s="185" t="n">
        <x:v>10000</x:v>
      </x:c>
      <x:c r="E7" s="185" t="str">
        <x:v>Weekly</x:v>
      </x:c>
      <x:c r="F7" s="185" t="n">
        <x:v>4.33</x:v>
      </x:c>
      <x:c r="G7" s="185" t="n">
        <x:v>50000</x:v>
      </x:c>
      <x:c r="H7" s="185" t="n">
        <x:v>5000</x:v>
      </x:c>
      <x:c r="I7" s="185" t="n">
        <x:v>1400</x:v>
      </x:c>
      <x:c r="J7" s="186" t="n">
        <x:v>70</x:v>
      </x:c>
      <x:c r="K7" s="187" t="n">
        <x:f>C7*Assumptions!B6</x:f>
        <x:v>80</x:v>
      </x:c>
      <x:c r="L7" s="187" t="n">
        <x:f>D7*F7*Assumptions!C16+(D7*Assumptions!B27*'Action Credits'!D17)+Assumptions!B40</x:f>
        <x:v>217.45000000000002</x:v>
      </x:c>
      <x:c r="M7" s="187" t="n">
        <x:f>K7+L7</x:f>
        <x:v>297.45000000000005</x:v>
      </x:c>
      <x:c r="N7" s="188" t="n">
        <x:f>(B7-M7)/B7</x:f>
        <x:v>0.6277221526908635</x:v>
      </x:c>
      <x:c r="O7" s="138"/>
      <x:c r="P7" s="138"/>
      <x:c r="Q7" s="138"/>
      <x:c r="R7" s="138"/>
      <x:c r="S7" s="138"/>
      <x:c r="T7" s="138"/>
      <x:c r="U7" s="138"/>
      <x:c r="V7" s="138"/>
      <x:c r="W7" s="138"/>
      <x:c r="X7" s="138"/>
      <x:c r="Y7" s="138"/>
      <x:c r="Z7" s="138"/>
    </x:row>
    <x:row r="8">
      <x:c r="A8" s="138"/>
      <x:c r="B8" s="138"/>
      <x:c r="C8" s="138"/>
      <x:c r="D8" s="138"/>
      <x:c r="E8" s="138"/>
      <x:c r="F8" s="138"/>
      <x:c r="G8" s="138"/>
      <x:c r="H8" s="138"/>
      <x:c r="I8" s="138"/>
      <x:c r="J8" s="138"/>
      <x:c r="K8" s="138"/>
      <x:c r="L8" s="138"/>
      <x:c r="M8" s="138"/>
      <x:c r="N8" s="138"/>
      <x:c r="O8" s="138"/>
      <x:c r="P8" s="138"/>
      <x:c r="Q8" s="138"/>
      <x:c r="R8" s="138"/>
      <x:c r="S8" s="138"/>
      <x:c r="T8" s="138"/>
      <x:c r="U8" s="138"/>
      <x:c r="V8" s="138"/>
      <x:c r="W8" s="138"/>
      <x:c r="X8" s="138"/>
      <x:c r="Y8" s="138"/>
      <x:c r="Z8" s="138"/>
    </x:row>
    <x:row r="9" ht="36" customHeight="1">
      <x:c r="A9" s="256" t="str">
        <x:v>Cost-model note: the $1 / $18 / $41 amounts are provisional non-provider contribution-cost allowances, not measured platform costs. They exclude payment fees, support, fixed overhead and separately unmodeled account-monitoring COGS. See Assumptions.</x:v>
      </x:c>
      <x:c r="B9" s="256" t="str">
        <x:v>Cost-model note: the $1 / $18 / $41 amounts are provisional non-provider contribution-cost allowances, not measured platform costs. They exclude payment fees, support, fixed overhead and separately unmodeled account-monitoring COGS. See Assumptions.</x:v>
      </x:c>
      <x:c r="C9" s="256" t="str">
        <x:v>Cost-model note: the $1 / $18 / $41 amounts are provisional non-provider contribution-cost allowances, not measured platform costs. They exclude payment fees, support, fixed overhead and separately unmodeled account-monitoring COGS. See Assumptions.</x:v>
      </x:c>
      <x:c r="D9" s="256" t="str">
        <x:v>Cost-model note: the $1 / $18 / $41 amounts are provisional non-provider contribution-cost allowances, not measured platform costs. They exclude payment fees, support, fixed overhead and separately unmodeled account-monitoring COGS. See Assumptions.</x:v>
      </x:c>
      <x:c r="E9" s="256" t="str">
        <x:v>Cost-model note: the $1 / $18 / $41 amounts are provisional non-provider contribution-cost allowances, not measured platform costs. They exclude payment fees, support, fixed overhead and separately unmodeled account-monitoring COGS. See Assumptions.</x:v>
      </x:c>
      <x:c r="F9" s="256" t="str">
        <x:v>Cost-model note: the $1 / $18 / $41 amounts are provisional non-provider contribution-cost allowances, not measured platform costs. They exclude payment fees, support, fixed overhead and separately unmodeled account-monitoring COGS. See Assumptions.</x:v>
      </x:c>
      <x:c r="G9" s="256" t="str">
        <x:v>Cost-model note: the $1 / $18 / $41 amounts are provisional non-provider contribution-cost allowances, not measured platform costs. They exclude payment fees, support, fixed overhead and separately unmodeled account-monitoring COGS. See Assumptions.</x:v>
      </x:c>
      <x:c r="H9" s="256" t="str">
        <x:v>Cost-model note: the $1 / $18 / $41 amounts are provisional non-provider contribution-cost allowances, not measured platform costs. They exclude payment fees, support, fixed overhead and separately unmodeled account-monitoring COGS. See Assumptions.</x:v>
      </x:c>
      <x:c r="I9" s="256" t="str">
        <x:v>Cost-model note: the $1 / $18 / $41 amounts are provisional non-provider contribution-cost allowances, not measured platform costs. They exclude payment fees, support, fixed overhead and separately unmodeled account-monitoring COGS. See Assumptions.</x:v>
      </x:c>
      <x:c r="J9" s="256" t="str">
        <x:v>Cost-model note: the $1 / $18 / $41 amounts are provisional non-provider contribution-cost allowances, not measured platform costs. They exclude payment fees, support, fixed overhead and separately unmodeled account-monitoring COGS. See Assumptions.</x:v>
      </x:c>
      <x:c r="K9" s="256" t="str">
        <x:v>Cost-model note: the $1 / $18 / $41 amounts are provisional non-provider contribution-cost allowances, not measured platform costs. They exclude payment fees, support, fixed overhead and separately unmodeled account-monitoring COGS. See Assumptions.</x:v>
      </x:c>
      <x:c r="L9" s="256" t="str">
        <x:v>Cost-model note: the $1 / $18 / $41 amounts are provisional non-provider contribution-cost allowances, not measured platform costs. They exclude payment fees, support, fixed overhead and separately unmodeled account-monitoring COGS. See Assumptions.</x:v>
      </x:c>
      <x:c r="M9" s="256" t="str">
        <x:v>Cost-model note: the $1 / $18 / $41 amounts are provisional non-provider contribution-cost allowances, not measured platform costs. They exclude payment fees, support, fixed overhead and separately unmodeled account-monitoring COGS. See Assumptions.</x:v>
      </x:c>
      <x:c r="N9" s="256" t="str">
        <x:v>Cost-model note: the $1 / $18 / $41 amounts are provisional non-provider contribution-cost allowances, not measured platform costs. They exclude payment fees, support, fixed overhead and separately unmodeled account-monitoring COGS. See Assumptions.</x:v>
      </x:c>
      <x:c r="O9" s="138"/>
      <x:c r="P9" s="138"/>
      <x:c r="Q9" s="138"/>
      <x:c r="R9" s="138"/>
      <x:c r="S9" s="138"/>
      <x:c r="T9" s="138"/>
      <x:c r="U9" s="138"/>
      <x:c r="V9" s="138"/>
      <x:c r="W9" s="138"/>
      <x:c r="X9" s="138"/>
      <x:c r="Y9" s="138"/>
      <x:c r="Z9" s="138"/>
    </x:row>
    <x:row r="10">
      <x:c r="A10" s="138"/>
      <x:c r="B10" s="138"/>
      <x:c r="C10" s="138"/>
      <x:c r="D10" s="138"/>
      <x:c r="E10" s="138"/>
      <x:c r="F10" s="138"/>
      <x:c r="G10" s="138"/>
      <x:c r="H10" s="138"/>
      <x:c r="I10" s="138"/>
      <x:c r="J10" s="138"/>
      <x:c r="K10" s="138"/>
      <x:c r="L10" s="138"/>
      <x:c r="M10" s="138"/>
      <x:c r="N10" s="138"/>
      <x:c r="O10" s="138"/>
      <x:c r="P10" s="138"/>
      <x:c r="Q10" s="138"/>
      <x:c r="R10" s="138"/>
      <x:c r="S10" s="138"/>
      <x:c r="T10" s="138"/>
      <x:c r="U10" s="138"/>
      <x:c r="V10" s="138"/>
      <x:c r="W10" s="138"/>
      <x:c r="X10" s="138"/>
      <x:c r="Y10" s="138"/>
      <x:c r="Z10" s="138"/>
    </x:row>
    <x:row r="11" ht="22" customHeight="1">
      <x:c r="A11" s="140" t="str">
        <x:v>Plan rules</x:v>
      </x:c>
      <x:c r="B11" s="138"/>
      <x:c r="C11" s="138"/>
      <x:c r="D11" s="138"/>
      <x:c r="E11" s="138"/>
      <x:c r="F11" s="138"/>
      <x:c r="G11" s="138"/>
      <x:c r="H11" s="138"/>
      <x:c r="I11" s="138"/>
      <x:c r="J11" s="138"/>
      <x:c r="K11" s="138"/>
      <x:c r="L11" s="138"/>
      <x:c r="M11" s="138"/>
      <x:c r="N11" s="138"/>
      <x:c r="O11" s="138"/>
      <x:c r="P11" s="138"/>
      <x:c r="Q11" s="138"/>
      <x:c r="R11" s="138"/>
      <x:c r="S11" s="138"/>
      <x:c r="T11" s="138"/>
      <x:c r="U11" s="138"/>
      <x:c r="V11" s="138"/>
      <x:c r="W11" s="138"/>
      <x:c r="X11" s="138"/>
      <x:c r="Y11" s="138"/>
      <x:c r="Z11" s="138"/>
    </x:row>
    <x:row r="12">
      <x:c r="A12" s="141" t="str">
        <x:v>Rule</x:v>
      </x:c>
      <x:c r="B12" s="143" t="str">
        <x:v>Recommended policy</x:v>
      </x:c>
      <x:c r="C12" s="138"/>
      <x:c r="D12" s="138"/>
      <x:c r="E12" s="138"/>
      <x:c r="F12" s="138"/>
      <x:c r="G12" s="138"/>
      <x:c r="H12" s="138"/>
      <x:c r="I12" s="138"/>
      <x:c r="J12" s="138"/>
      <x:c r="K12" s="138"/>
      <x:c r="L12" s="138"/>
      <x:c r="M12" s="138"/>
      <x:c r="N12" s="138"/>
      <x:c r="O12" s="138"/>
      <x:c r="P12" s="138"/>
      <x:c r="Q12" s="138"/>
      <x:c r="R12" s="138"/>
      <x:c r="S12" s="138"/>
      <x:c r="T12" s="138"/>
      <x:c r="U12" s="138"/>
      <x:c r="V12" s="138"/>
      <x:c r="W12" s="138"/>
      <x:c r="X12" s="138"/>
      <x:c r="Y12" s="138"/>
      <x:c r="Z12" s="138"/>
    </x:row>
    <x:row r="13" ht="24" customHeight="1">
      <x:c r="A13" s="144" t="str">
        <x:v>Seats</x:v>
      </x:c>
      <x:c r="B13" s="146" t="str">
        <x:v>Unlimited collaborators in one workspace; credits and all action limits are shared at workspace level, not multiplied by seats.</x:v>
      </x:c>
      <x:c r="C13" s="138"/>
      <x:c r="D13" s="138"/>
      <x:c r="E13" s="138"/>
      <x:c r="F13" s="138"/>
      <x:c r="G13" s="138"/>
      <x:c r="H13" s="138"/>
      <x:c r="I13" s="138"/>
      <x:c r="J13" s="138"/>
      <x:c r="K13" s="138"/>
      <x:c r="L13" s="138"/>
      <x:c r="M13" s="138"/>
      <x:c r="N13" s="138"/>
      <x:c r="O13" s="138"/>
      <x:c r="P13" s="138"/>
      <x:c r="Q13" s="138"/>
      <x:c r="R13" s="138"/>
      <x:c r="S13" s="138"/>
      <x:c r="T13" s="138"/>
      <x:c r="U13" s="138"/>
      <x:c r="V13" s="138"/>
      <x:c r="W13" s="138"/>
      <x:c r="X13" s="138"/>
      <x:c r="Y13" s="138"/>
      <x:c r="Z13" s="138"/>
    </x:row>
    <x:row r="14" ht="24" customHeight="1">
      <x:c r="A14" s="152" t="str">
        <x:v>Included credits</x:v>
      </x:c>
      <x:c r="B14" s="155" t="str">
        <x:v>Reset monthly and do not roll over.</x:v>
      </x:c>
      <x:c r="C14" s="138"/>
      <x:c r="D14" s="138"/>
      <x:c r="E14" s="138"/>
      <x:c r="F14" s="138"/>
      <x:c r="G14" s="138"/>
      <x:c r="H14" s="138"/>
      <x:c r="I14" s="138"/>
      <x:c r="J14" s="138"/>
      <x:c r="K14" s="138"/>
      <x:c r="L14" s="138"/>
      <x:c r="M14" s="138"/>
      <x:c r="N14" s="138"/>
      <x:c r="O14" s="138"/>
      <x:c r="P14" s="138"/>
      <x:c r="Q14" s="138"/>
      <x:c r="R14" s="138"/>
      <x:c r="S14" s="138"/>
      <x:c r="T14" s="138"/>
      <x:c r="U14" s="138"/>
      <x:c r="V14" s="138"/>
      <x:c r="W14" s="138"/>
      <x:c r="X14" s="138"/>
      <x:c r="Y14" s="138"/>
      <x:c r="Z14" s="138"/>
    </x:row>
    <x:row r="15" ht="24" customHeight="1">
      <x:c r="A15" s="152" t="str">
        <x:v>Purchased credits</x:v>
      </x:c>
      <x:c r="B15" s="155" t="str">
        <x:v>Shared across the org; roll for 12 months; used after included credits.</x:v>
      </x:c>
      <x:c r="C15" s="138"/>
      <x:c r="D15" s="138"/>
      <x:c r="E15" s="138"/>
      <x:c r="F15" s="138"/>
      <x:c r="G15" s="138"/>
      <x:c r="H15" s="138"/>
      <x:c r="I15" s="138"/>
      <x:c r="J15" s="138"/>
      <x:c r="K15" s="138"/>
      <x:c r="L15" s="138"/>
      <x:c r="M15" s="138"/>
      <x:c r="N15" s="138"/>
      <x:c r="O15" s="138"/>
      <x:c r="P15" s="138"/>
      <x:c r="Q15" s="138"/>
      <x:c r="R15" s="138"/>
      <x:c r="S15" s="138"/>
      <x:c r="T15" s="138"/>
      <x:c r="U15" s="138"/>
      <x:c r="V15" s="138"/>
      <x:c r="W15" s="138"/>
      <x:c r="X15" s="138"/>
      <x:c r="Y15" s="138"/>
      <x:c r="Z15" s="138"/>
    </x:row>
    <x:row r="16" ht="24" customHeight="1">
      <x:c r="A16" s="152" t="str">
        <x:v>Import protection</x:v>
      </x:c>
      <x:c r="B16" s="155" t="str">
        <x:v>Starter includes up to 300 imported enrichments; Growth includes up to 1,400. Purchased credits lift this only to the 500 / 5,000 monthly hard caps.</x:v>
      </x:c>
      <x:c r="C16" s="138"/>
      <x:c r="D16" s="138"/>
      <x:c r="E16" s="138"/>
      <x:c r="F16" s="138"/>
      <x:c r="G16" s="138"/>
      <x:c r="H16" s="138"/>
      <x:c r="I16" s="138"/>
      <x:c r="J16" s="138"/>
      <x:c r="K16" s="138"/>
      <x:c r="L16" s="138"/>
      <x:c r="M16" s="138"/>
      <x:c r="N16" s="138"/>
      <x:c r="O16" s="138"/>
      <x:c r="P16" s="138"/>
      <x:c r="Q16" s="138"/>
      <x:c r="R16" s="138"/>
      <x:c r="S16" s="138"/>
      <x:c r="T16" s="138"/>
      <x:c r="U16" s="138"/>
      <x:c r="V16" s="138"/>
      <x:c r="W16" s="138"/>
      <x:c r="X16" s="138"/>
      <x:c r="Y16" s="138"/>
      <x:c r="Z16" s="138"/>
    </x:row>
    <x:row r="17" ht="24" customHeight="1">
      <x:c r="A17" s="152" t="str">
        <x:v>Triage</x:v>
      </x:c>
      <x:c r="B17" s="155" t="str">
        <x:v>Every newly imported contact or account counts toward the monthly triage allowance across every import that month. Overflow costs 0.1 credit/record.</x:v>
      </x:c>
      <x:c r="C17" s="138"/>
      <x:c r="D17" s="138"/>
      <x:c r="E17" s="138"/>
      <x:c r="F17" s="138"/>
      <x:c r="G17" s="138"/>
      <x:c r="H17" s="138"/>
      <x:c r="I17" s="138"/>
      <x:c r="J17" s="138"/>
      <x:c r="K17" s="138"/>
      <x:c r="L17" s="138"/>
      <x:c r="M17" s="138"/>
      <x:c r="N17" s="138"/>
      <x:c r="O17" s="138"/>
      <x:c r="P17" s="138"/>
      <x:c r="Q17" s="138"/>
      <x:c r="R17" s="138"/>
      <x:c r="S17" s="138"/>
      <x:c r="T17" s="138"/>
      <x:c r="U17" s="138"/>
      <x:c r="V17" s="138"/>
      <x:c r="W17" s="138"/>
      <x:c r="X17" s="138"/>
      <x:c r="Y17" s="138"/>
      <x:c r="Z17" s="138"/>
    </x:row>
    <x:row r="18" ht="24" customHeight="1">
      <x:c r="A18" s="152" t="str">
        <x:v>New ICP</x:v>
      </x:c>
      <x:c r="B18" s="155" t="str">
        <x:v>Free re-triage of non-enriched records and free cached rescore of enriched records. No blanket provider re-enrichment.</x:v>
      </x:c>
      <x:c r="C18" s="138"/>
      <x:c r="D18" s="138"/>
      <x:c r="E18" s="138"/>
      <x:c r="F18" s="138"/>
      <x:c r="G18" s="138"/>
      <x:c r="H18" s="138"/>
      <x:c r="I18" s="138"/>
      <x:c r="J18" s="138"/>
      <x:c r="K18" s="138"/>
      <x:c r="L18" s="138"/>
      <x:c r="M18" s="138"/>
      <x:c r="N18" s="138"/>
      <x:c r="O18" s="138"/>
      <x:c r="P18" s="138"/>
      <x:c r="Q18" s="138"/>
      <x:c r="R18" s="138"/>
      <x:c r="S18" s="138"/>
      <x:c r="T18" s="138"/>
      <x:c r="U18" s="138"/>
      <x:c r="V18" s="138"/>
      <x:c r="W18" s="138"/>
      <x:c r="X18" s="138"/>
      <x:c r="Y18" s="138"/>
      <x:c r="Z18" s="138"/>
    </x:row>
    <x:row r="19" ht="24" customHeight="1">
      <x:c r="A19" s="152" t="str">
        <x:v>Monitoring</x:v>
      </x:c>
      <x:c r="B19" s="155" t="str">
        <x:v>All high-fit active leads are monitored automatically: Starter monthly up to 5,000; Growth weekly up to 10,000. No manual selection.</x:v>
      </x:c>
      <x:c r="C19" s="138"/>
      <x:c r="D19" s="138"/>
      <x:c r="E19" s="138"/>
      <x:c r="F19" s="138"/>
      <x:c r="G19" s="138"/>
      <x:c r="H19" s="138"/>
      <x:c r="I19" s="138"/>
      <x:c r="J19" s="138"/>
      <x:c r="K19" s="138"/>
      <x:c r="L19" s="138"/>
      <x:c r="M19" s="138"/>
      <x:c r="N19" s="138"/>
      <x:c r="O19" s="138"/>
      <x:c r="P19" s="138"/>
      <x:c r="Q19" s="138"/>
      <x:c r="R19" s="138"/>
      <x:c r="S19" s="138"/>
      <x:c r="T19" s="138"/>
      <x:c r="U19" s="138"/>
      <x:c r="V19" s="138"/>
      <x:c r="W19" s="138"/>
      <x:c r="X19" s="138"/>
      <x:c r="Y19" s="138"/>
      <x:c r="Z19" s="138"/>
    </x:row>
    <x:row r="20" ht="24" customHeight="1">
      <x:c r="A20" s="152" t="str">
        <x:v>Phones</x:v>
      </x:c>
      <x:c r="B20" s="155" t="str">
        <x:v>Click-to-reveal only. No automatic provider call.</x:v>
      </x:c>
      <x:c r="C20" s="138"/>
      <x:c r="D20" s="138"/>
      <x:c r="E20" s="138"/>
      <x:c r="F20" s="138"/>
      <x:c r="G20" s="138"/>
      <x:c r="H20" s="138"/>
      <x:c r="I20" s="138"/>
      <x:c r="J20" s="138"/>
      <x:c r="K20" s="138"/>
      <x:c r="L20" s="138"/>
      <x:c r="M20" s="138"/>
      <x:c r="N20" s="138"/>
      <x:c r="O20" s="138"/>
      <x:c r="P20" s="138"/>
      <x:c r="Q20" s="138"/>
      <x:c r="R20" s="138"/>
      <x:c r="S20" s="138"/>
      <x:c r="T20" s="138"/>
      <x:c r="U20" s="138"/>
      <x:c r="V20" s="138"/>
      <x:c r="W20" s="138"/>
      <x:c r="X20" s="138"/>
      <x:c r="Y20" s="138"/>
      <x:c r="Z20" s="138"/>
    </x:row>
    <x:row r="21" ht="24" customHeight="1">
      <x:c r="A21" s="147" t="str">
        <x:v>Failures</x:v>
      </x:c>
      <x:c r="B21" s="149" t="str">
        <x:v>Reserve credits before a call; finalize only on a billable provider result; refund failed/duplicate/cache-hit operations.</x:v>
      </x:c>
      <x:c r="C21" s="138"/>
      <x:c r="D21" s="138"/>
      <x:c r="E21" s="138"/>
      <x:c r="F21" s="138"/>
      <x:c r="G21" s="138"/>
      <x:c r="H21" s="138"/>
      <x:c r="I21" s="138"/>
      <x:c r="J21" s="138"/>
      <x:c r="K21" s="138"/>
      <x:c r="L21" s="138"/>
      <x:c r="M21" s="138"/>
      <x:c r="N21" s="138"/>
      <x:c r="O21" s="138"/>
      <x:c r="P21" s="138"/>
      <x:c r="Q21" s="138"/>
      <x:c r="R21" s="138"/>
      <x:c r="S21" s="138"/>
      <x:c r="T21" s="138"/>
      <x:c r="U21" s="138"/>
      <x:c r="V21" s="138"/>
      <x:c r="W21" s="138"/>
      <x:c r="X21" s="138"/>
      <x:c r="Y21" s="138"/>
      <x:c r="Z21" s="138"/>
    </x:row>
    <x:row r="22">
      <x:c r="A22" s="138" t="str">
        <x:v>Active ICPs</x:v>
      </x:c>
      <x:c r="B22" s="138" t="str">
        <x:v>Free includes 1 active ICP; Starter includes 3; Growth includes 10. Purchased credits do not increase ICP capacity; editing an existing ICP does not consume another slot.</x:v>
      </x:c>
      <x:c r="C22" s="138"/>
      <x:c r="D22" s="138"/>
      <x:c r="E22" s="138"/>
      <x:c r="F22" s="138"/>
      <x:c r="G22" s="138"/>
      <x:c r="H22" s="138"/>
      <x:c r="I22" s="138"/>
      <x:c r="J22" s="138"/>
      <x:c r="K22" s="138"/>
      <x:c r="L22" s="138"/>
      <x:c r="M22" s="138"/>
      <x:c r="N22" s="138"/>
      <x:c r="O22" s="138"/>
      <x:c r="P22" s="138"/>
      <x:c r="Q22" s="138"/>
      <x:c r="R22" s="138"/>
      <x:c r="S22" s="138"/>
      <x:c r="T22" s="138"/>
      <x:c r="U22" s="138"/>
      <x:c r="V22" s="138"/>
      <x:c r="W22" s="138"/>
      <x:c r="X22" s="138"/>
      <x:c r="Y22" s="138"/>
      <x:c r="Z22" s="138"/>
    </x:row>
    <x:row r="23">
      <x:c r="A23" s="138"/>
      <x:c r="B23" s="138"/>
      <x:c r="C23" s="138"/>
      <x:c r="D23" s="138"/>
      <x:c r="E23" s="138"/>
      <x:c r="F23" s="138"/>
      <x:c r="G23" s="138"/>
      <x:c r="H23" s="138"/>
      <x:c r="I23" s="138"/>
      <x:c r="J23" s="138"/>
      <x:c r="K23" s="138"/>
      <x:c r="L23" s="138"/>
      <x:c r="M23" s="138"/>
      <x:c r="N23" s="138"/>
      <x:c r="O23" s="138"/>
      <x:c r="P23" s="138"/>
      <x:c r="Q23" s="138"/>
      <x:c r="R23" s="138"/>
      <x:c r="S23" s="138"/>
      <x:c r="T23" s="138"/>
      <x:c r="U23" s="138"/>
      <x:c r="V23" s="138"/>
      <x:c r="W23" s="138"/>
      <x:c r="X23" s="138"/>
      <x:c r="Y23" s="138"/>
      <x:c r="Z23" s="138"/>
    </x:row>
    <x:row r="24">
      <x:c r="A24" s="138"/>
      <x:c r="B24" s="138"/>
      <x:c r="C24" s="138"/>
      <x:c r="D24" s="138"/>
      <x:c r="E24" s="138"/>
      <x:c r="F24" s="138"/>
      <x:c r="G24" s="138"/>
      <x:c r="H24" s="138"/>
      <x:c r="I24" s="138"/>
      <x:c r="J24" s="138"/>
      <x:c r="K24" s="138"/>
      <x:c r="L24" s="138"/>
      <x:c r="M24" s="138"/>
      <x:c r="N24" s="138"/>
      <x:c r="O24" s="138"/>
      <x:c r="P24" s="138"/>
      <x:c r="Q24" s="138"/>
      <x:c r="R24" s="138"/>
      <x:c r="S24" s="138"/>
      <x:c r="T24" s="138"/>
      <x:c r="U24" s="138"/>
      <x:c r="V24" s="138"/>
      <x:c r="W24" s="138"/>
      <x:c r="X24" s="138"/>
      <x:c r="Y24" s="138"/>
      <x:c r="Z24" s="138"/>
    </x:row>
    <x:row r="25">
      <x:c r="A25" s="138"/>
      <x:c r="B25" s="138"/>
      <x:c r="C25" s="138"/>
      <x:c r="D25" s="138"/>
      <x:c r="E25" s="138"/>
      <x:c r="F25" s="138"/>
      <x:c r="G25" s="138"/>
      <x:c r="H25" s="138"/>
      <x:c r="I25" s="138"/>
      <x:c r="J25" s="138"/>
      <x:c r="K25" s="138"/>
      <x:c r="L25" s="138"/>
      <x:c r="M25" s="138"/>
      <x:c r="N25" s="138"/>
      <x:c r="O25" s="138"/>
      <x:c r="P25" s="138"/>
      <x:c r="Q25" s="138"/>
      <x:c r="R25" s="138"/>
      <x:c r="S25" s="138"/>
      <x:c r="T25" s="138"/>
      <x:c r="U25" s="138"/>
      <x:c r="V25" s="138"/>
      <x:c r="W25" s="138"/>
      <x:c r="X25" s="138"/>
      <x:c r="Y25" s="138"/>
      <x:c r="Z25" s="138"/>
    </x:row>
    <x:row r="26">
      <x:c r="A26" s="138"/>
      <x:c r="B26" s="138"/>
      <x:c r="C26" s="138"/>
      <x:c r="D26" s="138"/>
      <x:c r="E26" s="138"/>
      <x:c r="F26" s="138"/>
      <x:c r="G26" s="138"/>
      <x:c r="H26" s="138"/>
      <x:c r="I26" s="138"/>
      <x:c r="J26" s="138"/>
      <x:c r="K26" s="138"/>
      <x:c r="L26" s="138"/>
      <x:c r="M26" s="138"/>
      <x:c r="N26" s="138"/>
      <x:c r="O26" s="138"/>
      <x:c r="P26" s="138"/>
      <x:c r="Q26" s="138"/>
      <x:c r="R26" s="138"/>
      <x:c r="S26" s="138"/>
      <x:c r="T26" s="138"/>
      <x:c r="U26" s="138"/>
      <x:c r="V26" s="138"/>
      <x:c r="W26" s="138"/>
      <x:c r="X26" s="138"/>
      <x:c r="Y26" s="138"/>
      <x:c r="Z26" s="138"/>
    </x:row>
    <x:row r="27">
      <x:c r="A27" s="138"/>
      <x:c r="B27" s="138"/>
      <x:c r="C27" s="138"/>
      <x:c r="D27" s="138"/>
      <x:c r="E27" s="138"/>
      <x:c r="F27" s="138"/>
      <x:c r="G27" s="138"/>
      <x:c r="H27" s="138"/>
      <x:c r="I27" s="138"/>
      <x:c r="J27" s="138"/>
      <x:c r="K27" s="138"/>
      <x:c r="L27" s="138"/>
      <x:c r="M27" s="138"/>
      <x:c r="N27" s="138"/>
      <x:c r="O27" s="138"/>
      <x:c r="P27" s="138"/>
      <x:c r="Q27" s="138"/>
      <x:c r="R27" s="138"/>
      <x:c r="S27" s="138"/>
      <x:c r="T27" s="138"/>
      <x:c r="U27" s="138"/>
      <x:c r="V27" s="138"/>
      <x:c r="W27" s="138"/>
      <x:c r="X27" s="138"/>
      <x:c r="Y27" s="138"/>
      <x:c r="Z27" s="138"/>
    </x:row>
    <x:row r="28">
      <x:c r="A28" s="138"/>
      <x:c r="B28" s="138"/>
      <x:c r="C28" s="138"/>
      <x:c r="D28" s="138"/>
      <x:c r="E28" s="138"/>
      <x:c r="F28" s="138"/>
      <x:c r="G28" s="138"/>
      <x:c r="H28" s="138"/>
      <x:c r="I28" s="138"/>
      <x:c r="J28" s="138"/>
      <x:c r="K28" s="138"/>
      <x:c r="L28" s="138"/>
      <x:c r="M28" s="138"/>
      <x:c r="N28" s="138"/>
      <x:c r="O28" s="138"/>
      <x:c r="P28" s="138"/>
      <x:c r="Q28" s="138"/>
      <x:c r="R28" s="138"/>
      <x:c r="S28" s="138"/>
      <x:c r="T28" s="138"/>
      <x:c r="U28" s="138"/>
      <x:c r="V28" s="138"/>
      <x:c r="W28" s="138"/>
      <x:c r="X28" s="138"/>
      <x:c r="Y28" s="138"/>
      <x:c r="Z28" s="138"/>
    </x:row>
    <x:row r="29">
      <x:c r="A29" s="138"/>
      <x:c r="B29" s="138"/>
      <x:c r="C29" s="138"/>
      <x:c r="D29" s="138"/>
      <x:c r="E29" s="138"/>
      <x:c r="F29" s="138"/>
      <x:c r="G29" s="138"/>
      <x:c r="H29" s="138"/>
      <x:c r="I29" s="138"/>
      <x:c r="J29" s="138"/>
      <x:c r="K29" s="138"/>
      <x:c r="L29" s="138"/>
      <x:c r="M29" s="138"/>
      <x:c r="N29" s="138"/>
      <x:c r="O29" s="138"/>
      <x:c r="P29" s="138"/>
      <x:c r="Q29" s="138"/>
      <x:c r="R29" s="138"/>
      <x:c r="S29" s="138"/>
      <x:c r="T29" s="138"/>
      <x:c r="U29" s="138"/>
      <x:c r="V29" s="138"/>
      <x:c r="W29" s="138"/>
      <x:c r="X29" s="138"/>
      <x:c r="Y29" s="138"/>
      <x:c r="Z29" s="138"/>
    </x:row>
    <x:row r="30">
      <x:c r="A30" s="138"/>
      <x:c r="B30" s="138"/>
      <x:c r="C30" s="138"/>
      <x:c r="D30" s="138"/>
      <x:c r="E30" s="138"/>
      <x:c r="F30" s="138"/>
      <x:c r="G30" s="138"/>
      <x:c r="H30" s="138"/>
      <x:c r="I30" s="138"/>
      <x:c r="J30" s="138"/>
      <x:c r="K30" s="138"/>
      <x:c r="L30" s="138"/>
      <x:c r="M30" s="138"/>
      <x:c r="N30" s="138"/>
      <x:c r="O30" s="138"/>
      <x:c r="P30" s="138"/>
      <x:c r="Q30" s="138"/>
      <x:c r="R30" s="138"/>
      <x:c r="S30" s="138"/>
      <x:c r="T30" s="138"/>
      <x:c r="U30" s="138"/>
      <x:c r="V30" s="138"/>
      <x:c r="W30" s="138"/>
      <x:c r="X30" s="138"/>
      <x:c r="Y30" s="138"/>
      <x:c r="Z30" s="138"/>
    </x:row>
    <x:row r="31">
      <x:c r="A31" s="138"/>
      <x:c r="B31" s="138"/>
      <x:c r="C31" s="138"/>
      <x:c r="D31" s="138"/>
      <x:c r="E31" s="138"/>
      <x:c r="F31" s="138"/>
      <x:c r="G31" s="138"/>
      <x:c r="H31" s="138"/>
      <x:c r="I31" s="138"/>
      <x:c r="J31" s="138"/>
      <x:c r="K31" s="138"/>
      <x:c r="L31" s="138"/>
      <x:c r="M31" s="138"/>
      <x:c r="N31" s="138"/>
      <x:c r="O31" s="138"/>
      <x:c r="P31" s="138"/>
      <x:c r="Q31" s="138"/>
      <x:c r="R31" s="138"/>
      <x:c r="S31" s="138"/>
      <x:c r="T31" s="138"/>
      <x:c r="U31" s="138"/>
      <x:c r="V31" s="138"/>
      <x:c r="W31" s="138"/>
      <x:c r="X31" s="138"/>
      <x:c r="Y31" s="138"/>
      <x:c r="Z31" s="138"/>
    </x:row>
    <x:row r="32">
      <x:c r="A32" s="138"/>
      <x:c r="B32" s="138"/>
      <x:c r="C32" s="138"/>
      <x:c r="D32" s="138"/>
      <x:c r="E32" s="138"/>
      <x:c r="F32" s="138"/>
      <x:c r="G32" s="138"/>
      <x:c r="H32" s="138"/>
      <x:c r="I32" s="138"/>
      <x:c r="J32" s="138"/>
      <x:c r="K32" s="138"/>
      <x:c r="L32" s="138"/>
      <x:c r="M32" s="138"/>
      <x:c r="N32" s="138"/>
      <x:c r="O32" s="138"/>
      <x:c r="P32" s="138"/>
      <x:c r="Q32" s="138"/>
      <x:c r="R32" s="138"/>
      <x:c r="S32" s="138"/>
      <x:c r="T32" s="138"/>
      <x:c r="U32" s="138"/>
      <x:c r="V32" s="138"/>
      <x:c r="W32" s="138"/>
      <x:c r="X32" s="138"/>
      <x:c r="Y32" s="138"/>
      <x:c r="Z32" s="138"/>
    </x:row>
    <x:row r="33">
      <x:c r="A33" s="138"/>
      <x:c r="B33" s="138"/>
      <x:c r="C33" s="138"/>
      <x:c r="D33" s="138"/>
      <x:c r="E33" s="138"/>
      <x:c r="F33" s="138"/>
      <x:c r="G33" s="138"/>
      <x:c r="H33" s="138"/>
      <x:c r="I33" s="138"/>
      <x:c r="J33" s="138"/>
      <x:c r="K33" s="138"/>
      <x:c r="L33" s="138"/>
      <x:c r="M33" s="138"/>
      <x:c r="N33" s="138"/>
      <x:c r="O33" s="138"/>
      <x:c r="P33" s="138"/>
      <x:c r="Q33" s="138"/>
      <x:c r="R33" s="138"/>
      <x:c r="S33" s="138"/>
      <x:c r="T33" s="138"/>
      <x:c r="U33" s="138"/>
      <x:c r="V33" s="138"/>
      <x:c r="W33" s="138"/>
      <x:c r="X33" s="138"/>
      <x:c r="Y33" s="138"/>
      <x:c r="Z33" s="138"/>
    </x:row>
    <x:row r="34">
      <x:c r="A34" s="138"/>
      <x:c r="B34" s="138"/>
      <x:c r="C34" s="138"/>
      <x:c r="D34" s="138"/>
      <x:c r="E34" s="138"/>
      <x:c r="F34" s="138"/>
      <x:c r="G34" s="138"/>
      <x:c r="H34" s="138"/>
      <x:c r="I34" s="138"/>
      <x:c r="J34" s="138"/>
      <x:c r="K34" s="138"/>
      <x:c r="L34" s="138"/>
      <x:c r="M34" s="138"/>
      <x:c r="N34" s="138"/>
      <x:c r="O34" s="138"/>
      <x:c r="P34" s="138"/>
      <x:c r="Q34" s="138"/>
      <x:c r="R34" s="138"/>
      <x:c r="S34" s="138"/>
      <x:c r="T34" s="138"/>
      <x:c r="U34" s="138"/>
      <x:c r="V34" s="138"/>
      <x:c r="W34" s="138"/>
      <x:c r="X34" s="138"/>
      <x:c r="Y34" s="138"/>
      <x:c r="Z34" s="138"/>
    </x:row>
    <x:row r="35">
      <x:c r="A35" s="138"/>
      <x:c r="B35" s="138"/>
      <x:c r="C35" s="138"/>
      <x:c r="D35" s="138"/>
      <x:c r="E35" s="138"/>
      <x:c r="F35" s="138"/>
      <x:c r="G35" s="138"/>
      <x:c r="H35" s="138"/>
      <x:c r="I35" s="138"/>
      <x:c r="J35" s="138"/>
      <x:c r="K35" s="138"/>
      <x:c r="L35" s="138"/>
      <x:c r="M35" s="138"/>
      <x:c r="N35" s="138"/>
      <x:c r="O35" s="138"/>
      <x:c r="P35" s="138"/>
      <x:c r="Q35" s="138"/>
      <x:c r="R35" s="138"/>
      <x:c r="S35" s="138"/>
      <x:c r="T35" s="138"/>
      <x:c r="U35" s="138"/>
      <x:c r="V35" s="138"/>
      <x:c r="W35" s="138"/>
      <x:c r="X35" s="138"/>
      <x:c r="Y35" s="138"/>
      <x:c r="Z35" s="138"/>
    </x:row>
    <x:row r="36">
      <x:c r="A36" s="138"/>
      <x:c r="B36" s="138"/>
      <x:c r="C36" s="138"/>
      <x:c r="D36" s="138"/>
      <x:c r="E36" s="138"/>
      <x:c r="F36" s="138"/>
      <x:c r="G36" s="138"/>
      <x:c r="H36" s="138"/>
      <x:c r="I36" s="138"/>
      <x:c r="J36" s="138"/>
      <x:c r="K36" s="138"/>
      <x:c r="L36" s="138"/>
      <x:c r="M36" s="138"/>
      <x:c r="N36" s="138"/>
      <x:c r="O36" s="138"/>
      <x:c r="P36" s="138"/>
      <x:c r="Q36" s="138"/>
      <x:c r="R36" s="138"/>
      <x:c r="S36" s="138"/>
      <x:c r="T36" s="138"/>
      <x:c r="U36" s="138"/>
      <x:c r="V36" s="138"/>
      <x:c r="W36" s="138"/>
      <x:c r="X36" s="138"/>
      <x:c r="Y36" s="138"/>
      <x:c r="Z36" s="138"/>
    </x:row>
    <x:row r="37">
      <x:c r="A37" s="138"/>
      <x:c r="B37" s="138"/>
      <x:c r="C37" s="138"/>
      <x:c r="D37" s="138"/>
      <x:c r="E37" s="138"/>
      <x:c r="F37" s="138"/>
      <x:c r="G37" s="138"/>
      <x:c r="H37" s="138"/>
      <x:c r="I37" s="138"/>
      <x:c r="J37" s="138"/>
      <x:c r="K37" s="138"/>
      <x:c r="L37" s="138"/>
      <x:c r="M37" s="138"/>
      <x:c r="N37" s="138"/>
      <x:c r="O37" s="138"/>
      <x:c r="P37" s="138"/>
      <x:c r="Q37" s="138"/>
      <x:c r="R37" s="138"/>
      <x:c r="S37" s="138"/>
      <x:c r="T37" s="138"/>
      <x:c r="U37" s="138"/>
      <x:c r="V37" s="138"/>
      <x:c r="W37" s="138"/>
      <x:c r="X37" s="138"/>
      <x:c r="Y37" s="138"/>
      <x:c r="Z37" s="138"/>
    </x:row>
    <x:row r="38">
      <x:c r="A38" s="138"/>
      <x:c r="B38" s="138"/>
      <x:c r="C38" s="138"/>
      <x:c r="D38" s="138"/>
      <x:c r="E38" s="138"/>
      <x:c r="F38" s="138"/>
      <x:c r="G38" s="138"/>
      <x:c r="H38" s="138"/>
      <x:c r="I38" s="138"/>
      <x:c r="J38" s="138"/>
      <x:c r="K38" s="138"/>
      <x:c r="L38" s="138"/>
      <x:c r="M38" s="138"/>
      <x:c r="N38" s="138"/>
      <x:c r="O38" s="138"/>
      <x:c r="P38" s="138"/>
      <x:c r="Q38" s="138"/>
      <x:c r="R38" s="138"/>
      <x:c r="S38" s="138"/>
      <x:c r="T38" s="138"/>
      <x:c r="U38" s="138"/>
      <x:c r="V38" s="138"/>
      <x:c r="W38" s="138"/>
      <x:c r="X38" s="138"/>
      <x:c r="Y38" s="138"/>
      <x:c r="Z38" s="138"/>
    </x:row>
    <x:row r="39">
      <x:c r="A39" s="138"/>
      <x:c r="B39" s="138"/>
      <x:c r="C39" s="138"/>
      <x:c r="D39" s="138"/>
      <x:c r="E39" s="138"/>
      <x:c r="F39" s="138"/>
      <x:c r="G39" s="138"/>
      <x:c r="H39" s="138"/>
      <x:c r="I39" s="138"/>
      <x:c r="J39" s="138"/>
      <x:c r="K39" s="138"/>
      <x:c r="L39" s="138"/>
      <x:c r="M39" s="138"/>
      <x:c r="N39" s="138"/>
      <x:c r="O39" s="138"/>
      <x:c r="P39" s="138"/>
      <x:c r="Q39" s="138"/>
      <x:c r="R39" s="138"/>
      <x:c r="S39" s="138"/>
      <x:c r="T39" s="138"/>
      <x:c r="U39" s="138"/>
      <x:c r="V39" s="138"/>
      <x:c r="W39" s="138"/>
      <x:c r="X39" s="138"/>
      <x:c r="Y39" s="138"/>
      <x:c r="Z39" s="138"/>
    </x:row>
    <x:row r="40">
      <x:c r="A40" s="138"/>
      <x:c r="B40" s="138"/>
      <x:c r="C40" s="138"/>
      <x:c r="D40" s="138"/>
      <x:c r="E40" s="138"/>
      <x:c r="F40" s="138"/>
      <x:c r="G40" s="138"/>
      <x:c r="H40" s="138"/>
      <x:c r="I40" s="138"/>
      <x:c r="J40" s="138"/>
      <x:c r="K40" s="138"/>
      <x:c r="L40" s="138"/>
      <x:c r="M40" s="138"/>
      <x:c r="N40" s="138"/>
      <x:c r="O40" s="138"/>
      <x:c r="P40" s="138"/>
      <x:c r="Q40" s="138"/>
      <x:c r="R40" s="138"/>
      <x:c r="S40" s="138"/>
      <x:c r="T40" s="138"/>
      <x:c r="U40" s="138"/>
      <x:c r="V40" s="138"/>
      <x:c r="W40" s="138"/>
      <x:c r="X40" s="138"/>
      <x:c r="Y40" s="138"/>
      <x:c r="Z40" s="138"/>
    </x:row>
    <x:row r="41">
      <x:c r="A41" s="138"/>
      <x:c r="B41" s="138"/>
      <x:c r="C41" s="138"/>
      <x:c r="D41" s="138"/>
      <x:c r="E41" s="138"/>
      <x:c r="F41" s="138"/>
      <x:c r="G41" s="138"/>
      <x:c r="H41" s="138"/>
      <x:c r="I41" s="138"/>
      <x:c r="J41" s="138"/>
      <x:c r="K41" s="138"/>
      <x:c r="L41" s="138"/>
      <x:c r="M41" s="138"/>
      <x:c r="N41" s="138"/>
      <x:c r="O41" s="138"/>
      <x:c r="P41" s="138"/>
      <x:c r="Q41" s="138"/>
      <x:c r="R41" s="138"/>
      <x:c r="S41" s="138"/>
      <x:c r="T41" s="138"/>
      <x:c r="U41" s="138"/>
      <x:c r="V41" s="138"/>
      <x:c r="W41" s="138"/>
      <x:c r="X41" s="138"/>
      <x:c r="Y41" s="138"/>
      <x:c r="Z41" s="138"/>
    </x:row>
    <x:row r="42">
      <x:c r="A42" s="138"/>
      <x:c r="B42" s="138"/>
      <x:c r="C42" s="138"/>
      <x:c r="D42" s="138"/>
      <x:c r="E42" s="138"/>
      <x:c r="F42" s="138"/>
      <x:c r="G42" s="138"/>
      <x:c r="H42" s="138"/>
      <x:c r="I42" s="138"/>
      <x:c r="J42" s="138"/>
      <x:c r="K42" s="138"/>
      <x:c r="L42" s="138"/>
      <x:c r="M42" s="138"/>
      <x:c r="N42" s="138"/>
      <x:c r="O42" s="138"/>
      <x:c r="P42" s="138"/>
      <x:c r="Q42" s="138"/>
      <x:c r="R42" s="138"/>
      <x:c r="S42" s="138"/>
      <x:c r="T42" s="138"/>
      <x:c r="U42" s="138"/>
      <x:c r="V42" s="138"/>
      <x:c r="W42" s="138"/>
      <x:c r="X42" s="138"/>
      <x:c r="Y42" s="138"/>
      <x:c r="Z42" s="138"/>
    </x:row>
    <x:row r="43">
      <x:c r="A43" s="138"/>
      <x:c r="B43" s="138"/>
      <x:c r="C43" s="138"/>
      <x:c r="D43" s="138"/>
      <x:c r="E43" s="138"/>
      <x:c r="F43" s="138"/>
      <x:c r="G43" s="138"/>
      <x:c r="H43" s="138"/>
      <x:c r="I43" s="138"/>
      <x:c r="J43" s="138"/>
      <x:c r="K43" s="138"/>
      <x:c r="L43" s="138"/>
      <x:c r="M43" s="138"/>
      <x:c r="N43" s="138"/>
      <x:c r="O43" s="138"/>
      <x:c r="P43" s="138"/>
      <x:c r="Q43" s="138"/>
      <x:c r="R43" s="138"/>
      <x:c r="S43" s="138"/>
      <x:c r="T43" s="138"/>
      <x:c r="U43" s="138"/>
      <x:c r="V43" s="138"/>
      <x:c r="W43" s="138"/>
      <x:c r="X43" s="138"/>
      <x:c r="Y43" s="138"/>
      <x:c r="Z43" s="138"/>
    </x:row>
    <x:row r="44">
      <x:c r="A44" s="138"/>
      <x:c r="B44" s="138"/>
      <x:c r="C44" s="138"/>
      <x:c r="D44" s="138"/>
      <x:c r="E44" s="138"/>
      <x:c r="F44" s="138"/>
      <x:c r="G44" s="138"/>
      <x:c r="H44" s="138"/>
      <x:c r="I44" s="138"/>
      <x:c r="J44" s="138"/>
      <x:c r="K44" s="138"/>
      <x:c r="L44" s="138"/>
      <x:c r="M44" s="138"/>
      <x:c r="N44" s="138"/>
      <x:c r="O44" s="138"/>
      <x:c r="P44" s="138"/>
      <x:c r="Q44" s="138"/>
      <x:c r="R44" s="138"/>
      <x:c r="S44" s="138"/>
      <x:c r="T44" s="138"/>
      <x:c r="U44" s="138"/>
      <x:c r="V44" s="138"/>
      <x:c r="W44" s="138"/>
      <x:c r="X44" s="138"/>
      <x:c r="Y44" s="138"/>
      <x:c r="Z44" s="138"/>
    </x:row>
    <x:row r="45">
      <x:c r="A45" s="138"/>
      <x:c r="B45" s="138"/>
      <x:c r="C45" s="138"/>
      <x:c r="D45" s="138"/>
      <x:c r="E45" s="138"/>
      <x:c r="F45" s="138"/>
      <x:c r="G45" s="138"/>
      <x:c r="H45" s="138"/>
      <x:c r="I45" s="138"/>
      <x:c r="J45" s="138"/>
      <x:c r="K45" s="138"/>
      <x:c r="L45" s="138"/>
      <x:c r="M45" s="138"/>
      <x:c r="N45" s="138"/>
      <x:c r="O45" s="138"/>
      <x:c r="P45" s="138"/>
      <x:c r="Q45" s="138"/>
      <x:c r="R45" s="138"/>
      <x:c r="S45" s="138"/>
      <x:c r="T45" s="138"/>
      <x:c r="U45" s="138"/>
      <x:c r="V45" s="138"/>
      <x:c r="W45" s="138"/>
      <x:c r="X45" s="138"/>
      <x:c r="Y45" s="138"/>
      <x:c r="Z45" s="138"/>
    </x:row>
    <x:row r="46">
      <x:c r="A46" s="138"/>
      <x:c r="B46" s="138"/>
      <x:c r="C46" s="138"/>
      <x:c r="D46" s="138"/>
      <x:c r="E46" s="138"/>
      <x:c r="F46" s="138"/>
      <x:c r="G46" s="138"/>
      <x:c r="H46" s="138"/>
      <x:c r="I46" s="138"/>
      <x:c r="J46" s="138"/>
      <x:c r="K46" s="138"/>
      <x:c r="L46" s="138"/>
      <x:c r="M46" s="138"/>
      <x:c r="N46" s="138"/>
      <x:c r="O46" s="138"/>
      <x:c r="P46" s="138"/>
      <x:c r="Q46" s="138"/>
      <x:c r="R46" s="138"/>
      <x:c r="S46" s="138"/>
      <x:c r="T46" s="138"/>
      <x:c r="U46" s="138"/>
      <x:c r="V46" s="138"/>
      <x:c r="W46" s="138"/>
      <x:c r="X46" s="138"/>
      <x:c r="Y46" s="138"/>
      <x:c r="Z46" s="138"/>
    </x:row>
    <x:row r="47">
      <x:c r="A47" s="138"/>
      <x:c r="B47" s="138"/>
      <x:c r="C47" s="138"/>
      <x:c r="D47" s="138"/>
      <x:c r="E47" s="138"/>
      <x:c r="F47" s="138"/>
      <x:c r="G47" s="138"/>
      <x:c r="H47" s="138"/>
      <x:c r="I47" s="138"/>
      <x:c r="J47" s="138"/>
      <x:c r="K47" s="138"/>
      <x:c r="L47" s="138"/>
      <x:c r="M47" s="138"/>
      <x:c r="N47" s="138"/>
      <x:c r="O47" s="138"/>
      <x:c r="P47" s="138"/>
      <x:c r="Q47" s="138"/>
      <x:c r="R47" s="138"/>
      <x:c r="S47" s="138"/>
      <x:c r="T47" s="138"/>
      <x:c r="U47" s="138"/>
      <x:c r="V47" s="138"/>
      <x:c r="W47" s="138"/>
      <x:c r="X47" s="138"/>
      <x:c r="Y47" s="138"/>
      <x:c r="Z47" s="138"/>
    </x:row>
    <x:row r="48">
      <x:c r="A48" s="138"/>
      <x:c r="B48" s="138"/>
      <x:c r="C48" s="138"/>
      <x:c r="D48" s="138"/>
      <x:c r="E48" s="138"/>
      <x:c r="F48" s="138"/>
      <x:c r="G48" s="138"/>
      <x:c r="H48" s="138"/>
      <x:c r="I48" s="138"/>
      <x:c r="J48" s="138"/>
      <x:c r="K48" s="138"/>
      <x:c r="L48" s="138"/>
      <x:c r="M48" s="138"/>
      <x:c r="N48" s="138"/>
      <x:c r="O48" s="138"/>
      <x:c r="P48" s="138"/>
      <x:c r="Q48" s="138"/>
      <x:c r="R48" s="138"/>
      <x:c r="S48" s="138"/>
      <x:c r="T48" s="138"/>
      <x:c r="U48" s="138"/>
      <x:c r="V48" s="138"/>
      <x:c r="W48" s="138"/>
      <x:c r="X48" s="138"/>
      <x:c r="Y48" s="138"/>
      <x:c r="Z48" s="138"/>
    </x:row>
    <x:row r="49">
      <x:c r="A49" s="138"/>
      <x:c r="B49" s="138"/>
      <x:c r="C49" s="138"/>
      <x:c r="D49" s="138"/>
      <x:c r="E49" s="138"/>
      <x:c r="F49" s="138"/>
      <x:c r="G49" s="138"/>
      <x:c r="H49" s="138"/>
      <x:c r="I49" s="138"/>
      <x:c r="J49" s="138"/>
      <x:c r="K49" s="138"/>
      <x:c r="L49" s="138"/>
      <x:c r="M49" s="138"/>
      <x:c r="N49" s="138"/>
      <x:c r="O49" s="138"/>
      <x:c r="P49" s="138"/>
      <x:c r="Q49" s="138"/>
      <x:c r="R49" s="138"/>
      <x:c r="S49" s="138"/>
      <x:c r="T49" s="138"/>
      <x:c r="U49" s="138"/>
      <x:c r="V49" s="138"/>
      <x:c r="W49" s="138"/>
      <x:c r="X49" s="138"/>
      <x:c r="Y49" s="138"/>
      <x:c r="Z49" s="138"/>
    </x:row>
    <x:row r="50">
      <x:c r="A50" s="138"/>
      <x:c r="B50" s="138"/>
      <x:c r="C50" s="138"/>
      <x:c r="D50" s="138"/>
      <x:c r="E50" s="138"/>
      <x:c r="F50" s="138"/>
      <x:c r="G50" s="138"/>
      <x:c r="H50" s="138"/>
      <x:c r="I50" s="138"/>
      <x:c r="J50" s="138"/>
      <x:c r="K50" s="138"/>
      <x:c r="L50" s="138"/>
      <x:c r="M50" s="138"/>
      <x:c r="N50" s="138"/>
      <x:c r="O50" s="138"/>
      <x:c r="P50" s="138"/>
      <x:c r="Q50" s="138"/>
      <x:c r="R50" s="138"/>
      <x:c r="S50" s="138"/>
      <x:c r="T50" s="138"/>
      <x:c r="U50" s="138"/>
      <x:c r="V50" s="138"/>
      <x:c r="W50" s="138"/>
      <x:c r="X50" s="138"/>
      <x:c r="Y50" s="138"/>
      <x:c r="Z50" s="138"/>
    </x:row>
    <x:row r="51">
      <x:c r="A51" s="138"/>
      <x:c r="B51" s="138"/>
      <x:c r="C51" s="138"/>
      <x:c r="D51" s="138"/>
      <x:c r="E51" s="138"/>
      <x:c r="F51" s="138"/>
      <x:c r="G51" s="138"/>
      <x:c r="H51" s="138"/>
      <x:c r="I51" s="138"/>
      <x:c r="J51" s="138"/>
      <x:c r="K51" s="138"/>
      <x:c r="L51" s="138"/>
      <x:c r="M51" s="138"/>
      <x:c r="N51" s="138"/>
      <x:c r="O51" s="138"/>
      <x:c r="P51" s="138"/>
      <x:c r="Q51" s="138"/>
      <x:c r="R51" s="138"/>
      <x:c r="S51" s="138"/>
      <x:c r="T51" s="138"/>
      <x:c r="U51" s="138"/>
      <x:c r="V51" s="138"/>
      <x:c r="W51" s="138"/>
      <x:c r="X51" s="138"/>
      <x:c r="Y51" s="138"/>
      <x:c r="Z51" s="138"/>
    </x:row>
    <x:row r="52">
      <x:c r="A52" s="138"/>
      <x:c r="B52" s="138"/>
      <x:c r="C52" s="138"/>
      <x:c r="D52" s="138"/>
      <x:c r="E52" s="138"/>
      <x:c r="F52" s="138"/>
      <x:c r="G52" s="138"/>
      <x:c r="H52" s="138"/>
      <x:c r="I52" s="138"/>
      <x:c r="J52" s="138"/>
      <x:c r="K52" s="138"/>
      <x:c r="L52" s="138"/>
      <x:c r="M52" s="138"/>
      <x:c r="N52" s="138"/>
      <x:c r="O52" s="138"/>
      <x:c r="P52" s="138"/>
      <x:c r="Q52" s="138"/>
      <x:c r="R52" s="138"/>
      <x:c r="S52" s="138"/>
      <x:c r="T52" s="138"/>
      <x:c r="U52" s="138"/>
      <x:c r="V52" s="138"/>
      <x:c r="W52" s="138"/>
      <x:c r="X52" s="138"/>
      <x:c r="Y52" s="138"/>
      <x:c r="Z52" s="138"/>
    </x:row>
    <x:row r="53">
      <x:c r="A53" s="138"/>
      <x:c r="B53" s="138"/>
      <x:c r="C53" s="138"/>
      <x:c r="D53" s="138"/>
      <x:c r="E53" s="138"/>
      <x:c r="F53" s="138"/>
      <x:c r="G53" s="138"/>
      <x:c r="H53" s="138"/>
      <x:c r="I53" s="138"/>
      <x:c r="J53" s="138"/>
      <x:c r="K53" s="138"/>
      <x:c r="L53" s="138"/>
      <x:c r="M53" s="138"/>
      <x:c r="N53" s="138"/>
      <x:c r="O53" s="138"/>
      <x:c r="P53" s="138"/>
      <x:c r="Q53" s="138"/>
      <x:c r="R53" s="138"/>
      <x:c r="S53" s="138"/>
      <x:c r="T53" s="138"/>
      <x:c r="U53" s="138"/>
      <x:c r="V53" s="138"/>
      <x:c r="W53" s="138"/>
      <x:c r="X53" s="138"/>
      <x:c r="Y53" s="138"/>
      <x:c r="Z53" s="138"/>
    </x:row>
    <x:row r="54">
      <x:c r="A54" s="138"/>
      <x:c r="B54" s="138"/>
      <x:c r="C54" s="138"/>
      <x:c r="D54" s="138"/>
      <x:c r="E54" s="138"/>
      <x:c r="F54" s="138"/>
      <x:c r="G54" s="138"/>
      <x:c r="H54" s="138"/>
      <x:c r="I54" s="138"/>
      <x:c r="J54" s="138"/>
      <x:c r="K54" s="138"/>
      <x:c r="L54" s="138"/>
      <x:c r="M54" s="138"/>
      <x:c r="N54" s="138"/>
      <x:c r="O54" s="138"/>
      <x:c r="P54" s="138"/>
      <x:c r="Q54" s="138"/>
      <x:c r="R54" s="138"/>
      <x:c r="S54" s="138"/>
      <x:c r="T54" s="138"/>
      <x:c r="U54" s="138"/>
      <x:c r="V54" s="138"/>
      <x:c r="W54" s="138"/>
      <x:c r="X54" s="138"/>
      <x:c r="Y54" s="138"/>
      <x:c r="Z54" s="138"/>
    </x:row>
    <x:row r="55">
      <x:c r="A55" s="138"/>
      <x:c r="B55" s="138"/>
      <x:c r="C55" s="138"/>
      <x:c r="D55" s="138"/>
      <x:c r="E55" s="138"/>
      <x:c r="F55" s="138"/>
      <x:c r="G55" s="138"/>
      <x:c r="H55" s="138"/>
      <x:c r="I55" s="138"/>
      <x:c r="J55" s="138"/>
      <x:c r="K55" s="138"/>
      <x:c r="L55" s="138"/>
      <x:c r="M55" s="138"/>
      <x:c r="N55" s="138"/>
      <x:c r="O55" s="138"/>
      <x:c r="P55" s="138"/>
      <x:c r="Q55" s="138"/>
      <x:c r="R55" s="138"/>
      <x:c r="S55" s="138"/>
      <x:c r="T55" s="138"/>
      <x:c r="U55" s="138"/>
      <x:c r="V55" s="138"/>
      <x:c r="W55" s="138"/>
      <x:c r="X55" s="138"/>
      <x:c r="Y55" s="138"/>
      <x:c r="Z55" s="138"/>
    </x:row>
    <x:row r="56">
      <x:c r="A56" s="138"/>
      <x:c r="B56" s="138"/>
      <x:c r="C56" s="138"/>
      <x:c r="D56" s="138"/>
      <x:c r="E56" s="138"/>
      <x:c r="F56" s="138"/>
      <x:c r="G56" s="138"/>
      <x:c r="H56" s="138"/>
      <x:c r="I56" s="138"/>
      <x:c r="J56" s="138"/>
      <x:c r="K56" s="138"/>
      <x:c r="L56" s="138"/>
      <x:c r="M56" s="138"/>
      <x:c r="N56" s="138"/>
      <x:c r="O56" s="138"/>
      <x:c r="P56" s="138"/>
      <x:c r="Q56" s="138"/>
      <x:c r="R56" s="138"/>
      <x:c r="S56" s="138"/>
      <x:c r="T56" s="138"/>
      <x:c r="U56" s="138"/>
      <x:c r="V56" s="138"/>
      <x:c r="W56" s="138"/>
      <x:c r="X56" s="138"/>
      <x:c r="Y56" s="138"/>
      <x:c r="Z56" s="138"/>
    </x:row>
    <x:row r="57">
      <x:c r="A57" s="138"/>
      <x:c r="B57" s="138"/>
      <x:c r="C57" s="138"/>
      <x:c r="D57" s="138"/>
      <x:c r="E57" s="138"/>
      <x:c r="F57" s="138"/>
      <x:c r="G57" s="138"/>
      <x:c r="H57" s="138"/>
      <x:c r="I57" s="138"/>
      <x:c r="J57" s="138"/>
      <x:c r="K57" s="138"/>
      <x:c r="L57" s="138"/>
      <x:c r="M57" s="138"/>
      <x:c r="N57" s="138"/>
      <x:c r="O57" s="138"/>
      <x:c r="P57" s="138"/>
      <x:c r="Q57" s="138"/>
      <x:c r="R57" s="138"/>
      <x:c r="S57" s="138"/>
      <x:c r="T57" s="138"/>
      <x:c r="U57" s="138"/>
      <x:c r="V57" s="138"/>
      <x:c r="W57" s="138"/>
      <x:c r="X57" s="138"/>
      <x:c r="Y57" s="138"/>
      <x:c r="Z57" s="138"/>
    </x:row>
    <x:row r="58">
      <x:c r="A58" s="138"/>
      <x:c r="B58" s="138"/>
      <x:c r="C58" s="138"/>
      <x:c r="D58" s="138"/>
      <x:c r="E58" s="138"/>
      <x:c r="F58" s="138"/>
      <x:c r="G58" s="138"/>
      <x:c r="H58" s="138"/>
      <x:c r="I58" s="138"/>
      <x:c r="J58" s="138"/>
      <x:c r="K58" s="138"/>
      <x:c r="L58" s="138"/>
      <x:c r="M58" s="138"/>
      <x:c r="N58" s="138"/>
      <x:c r="O58" s="138"/>
      <x:c r="P58" s="138"/>
      <x:c r="Q58" s="138"/>
      <x:c r="R58" s="138"/>
      <x:c r="S58" s="138"/>
      <x:c r="T58" s="138"/>
      <x:c r="U58" s="138"/>
      <x:c r="V58" s="138"/>
      <x:c r="W58" s="138"/>
      <x:c r="X58" s="138"/>
      <x:c r="Y58" s="138"/>
      <x:c r="Z58" s="138"/>
    </x:row>
    <x:row r="59">
      <x:c r="A59" s="138"/>
      <x:c r="B59" s="138"/>
      <x:c r="C59" s="138"/>
      <x:c r="D59" s="138"/>
      <x:c r="E59" s="138"/>
      <x:c r="F59" s="138"/>
      <x:c r="G59" s="138"/>
      <x:c r="H59" s="138"/>
      <x:c r="I59" s="138"/>
      <x:c r="J59" s="138"/>
      <x:c r="K59" s="138"/>
      <x:c r="L59" s="138"/>
      <x:c r="M59" s="138"/>
      <x:c r="N59" s="138"/>
      <x:c r="O59" s="138"/>
      <x:c r="P59" s="138"/>
      <x:c r="Q59" s="138"/>
      <x:c r="R59" s="138"/>
      <x:c r="S59" s="138"/>
      <x:c r="T59" s="138"/>
      <x:c r="U59" s="138"/>
      <x:c r="V59" s="138"/>
      <x:c r="W59" s="138"/>
      <x:c r="X59" s="138"/>
      <x:c r="Y59" s="138"/>
      <x:c r="Z59" s="138"/>
    </x:row>
    <x:row r="60">
      <x:c r="A60" s="138"/>
      <x:c r="B60" s="138"/>
      <x:c r="C60" s="138"/>
      <x:c r="D60" s="138"/>
      <x:c r="E60" s="138"/>
      <x:c r="F60" s="138"/>
      <x:c r="G60" s="138"/>
      <x:c r="H60" s="138"/>
      <x:c r="I60" s="138"/>
      <x:c r="J60" s="138"/>
      <x:c r="K60" s="138"/>
      <x:c r="L60" s="138"/>
      <x:c r="M60" s="138"/>
      <x:c r="N60" s="138"/>
      <x:c r="O60" s="138"/>
      <x:c r="P60" s="138"/>
      <x:c r="Q60" s="138"/>
      <x:c r="R60" s="138"/>
      <x:c r="S60" s="138"/>
      <x:c r="T60" s="138"/>
      <x:c r="U60" s="138"/>
      <x:c r="V60" s="138"/>
      <x:c r="W60" s="138"/>
      <x:c r="X60" s="138"/>
      <x:c r="Y60" s="138"/>
      <x:c r="Z60" s="138"/>
    </x:row>
    <x:row r="61">
      <x:c r="A61" s="138"/>
      <x:c r="B61" s="138"/>
      <x:c r="C61" s="138"/>
      <x:c r="D61" s="138"/>
      <x:c r="E61" s="138"/>
      <x:c r="F61" s="138"/>
      <x:c r="G61" s="138"/>
      <x:c r="H61" s="138"/>
      <x:c r="I61" s="138"/>
      <x:c r="J61" s="138"/>
      <x:c r="K61" s="138"/>
      <x:c r="L61" s="138"/>
      <x:c r="M61" s="138"/>
      <x:c r="N61" s="138"/>
      <x:c r="O61" s="138"/>
      <x:c r="P61" s="138"/>
      <x:c r="Q61" s="138"/>
      <x:c r="R61" s="138"/>
      <x:c r="S61" s="138"/>
      <x:c r="T61" s="138"/>
      <x:c r="U61" s="138"/>
      <x:c r="V61" s="138"/>
      <x:c r="W61" s="138"/>
      <x:c r="X61" s="138"/>
      <x:c r="Y61" s="138"/>
      <x:c r="Z61" s="138"/>
    </x:row>
    <x:row r="62">
      <x:c r="A62" s="138"/>
      <x:c r="B62" s="138"/>
      <x:c r="C62" s="138"/>
      <x:c r="D62" s="138"/>
      <x:c r="E62" s="138"/>
      <x:c r="F62" s="138"/>
      <x:c r="G62" s="138"/>
      <x:c r="H62" s="138"/>
      <x:c r="I62" s="138"/>
      <x:c r="J62" s="138"/>
      <x:c r="K62" s="138"/>
      <x:c r="L62" s="138"/>
      <x:c r="M62" s="138"/>
      <x:c r="N62" s="138"/>
      <x:c r="O62" s="138"/>
      <x:c r="P62" s="138"/>
      <x:c r="Q62" s="138"/>
      <x:c r="R62" s="138"/>
      <x:c r="S62" s="138"/>
      <x:c r="T62" s="138"/>
      <x:c r="U62" s="138"/>
      <x:c r="V62" s="138"/>
      <x:c r="W62" s="138"/>
      <x:c r="X62" s="138"/>
      <x:c r="Y62" s="138"/>
      <x:c r="Z62" s="138"/>
    </x:row>
    <x:row r="63">
      <x:c r="A63" s="138"/>
      <x:c r="B63" s="138"/>
      <x:c r="C63" s="138"/>
      <x:c r="D63" s="138"/>
      <x:c r="E63" s="138"/>
      <x:c r="F63" s="138"/>
      <x:c r="G63" s="138"/>
      <x:c r="H63" s="138"/>
      <x:c r="I63" s="138"/>
      <x:c r="J63" s="138"/>
      <x:c r="K63" s="138"/>
      <x:c r="L63" s="138"/>
      <x:c r="M63" s="138"/>
      <x:c r="N63" s="138"/>
      <x:c r="O63" s="138"/>
      <x:c r="P63" s="138"/>
      <x:c r="Q63" s="138"/>
      <x:c r="R63" s="138"/>
      <x:c r="S63" s="138"/>
      <x:c r="T63" s="138"/>
      <x:c r="U63" s="138"/>
      <x:c r="V63" s="138"/>
      <x:c r="W63" s="138"/>
      <x:c r="X63" s="138"/>
      <x:c r="Y63" s="138"/>
      <x:c r="Z63" s="138"/>
    </x:row>
    <x:row r="64">
      <x:c r="A64" s="138"/>
      <x:c r="B64" s="138"/>
      <x:c r="C64" s="138"/>
      <x:c r="D64" s="138"/>
      <x:c r="E64" s="138"/>
      <x:c r="F64" s="138"/>
      <x:c r="G64" s="138"/>
      <x:c r="H64" s="138"/>
      <x:c r="I64" s="138"/>
      <x:c r="J64" s="138"/>
      <x:c r="K64" s="138"/>
      <x:c r="L64" s="138"/>
      <x:c r="M64" s="138"/>
      <x:c r="N64" s="138"/>
      <x:c r="O64" s="138"/>
      <x:c r="P64" s="138"/>
      <x:c r="Q64" s="138"/>
      <x:c r="R64" s="138"/>
      <x:c r="S64" s="138"/>
      <x:c r="T64" s="138"/>
      <x:c r="U64" s="138"/>
      <x:c r="V64" s="138"/>
      <x:c r="W64" s="138"/>
      <x:c r="X64" s="138"/>
      <x:c r="Y64" s="138"/>
      <x:c r="Z64" s="138"/>
    </x:row>
    <x:row r="65">
      <x:c r="A65" s="138"/>
      <x:c r="B65" s="138"/>
      <x:c r="C65" s="138"/>
      <x:c r="D65" s="138"/>
      <x:c r="E65" s="138"/>
      <x:c r="F65" s="138"/>
      <x:c r="G65" s="138"/>
      <x:c r="H65" s="138"/>
      <x:c r="I65" s="138"/>
      <x:c r="J65" s="138"/>
      <x:c r="K65" s="138"/>
      <x:c r="L65" s="138"/>
      <x:c r="M65" s="138"/>
      <x:c r="N65" s="138"/>
      <x:c r="O65" s="138"/>
      <x:c r="P65" s="138"/>
      <x:c r="Q65" s="138"/>
      <x:c r="R65" s="138"/>
      <x:c r="S65" s="138"/>
      <x:c r="T65" s="138"/>
      <x:c r="U65" s="138"/>
      <x:c r="V65" s="138"/>
      <x:c r="W65" s="138"/>
      <x:c r="X65" s="138"/>
      <x:c r="Y65" s="138"/>
      <x:c r="Z65" s="138"/>
    </x:row>
    <x:row r="66">
      <x:c r="A66" s="138"/>
      <x:c r="B66" s="138"/>
      <x:c r="C66" s="138"/>
      <x:c r="D66" s="138"/>
      <x:c r="E66" s="138"/>
      <x:c r="F66" s="138"/>
      <x:c r="G66" s="138"/>
      <x:c r="H66" s="138"/>
      <x:c r="I66" s="138"/>
      <x:c r="J66" s="138"/>
      <x:c r="K66" s="138"/>
      <x:c r="L66" s="138"/>
      <x:c r="M66" s="138"/>
      <x:c r="N66" s="138"/>
      <x:c r="O66" s="138"/>
      <x:c r="P66" s="138"/>
      <x:c r="Q66" s="138"/>
      <x:c r="R66" s="138"/>
      <x:c r="S66" s="138"/>
      <x:c r="T66" s="138"/>
      <x:c r="U66" s="138"/>
      <x:c r="V66" s="138"/>
      <x:c r="W66" s="138"/>
      <x:c r="X66" s="138"/>
      <x:c r="Y66" s="138"/>
      <x:c r="Z66" s="138"/>
    </x:row>
    <x:row r="67">
      <x:c r="A67" s="138"/>
      <x:c r="B67" s="138"/>
      <x:c r="C67" s="138"/>
      <x:c r="D67" s="138"/>
      <x:c r="E67" s="138"/>
      <x:c r="F67" s="138"/>
      <x:c r="G67" s="138"/>
      <x:c r="H67" s="138"/>
      <x:c r="I67" s="138"/>
      <x:c r="J67" s="138"/>
      <x:c r="K67" s="138"/>
      <x:c r="L67" s="138"/>
      <x:c r="M67" s="138"/>
      <x:c r="N67" s="138"/>
      <x:c r="O67" s="138"/>
      <x:c r="P67" s="138"/>
      <x:c r="Q67" s="138"/>
      <x:c r="R67" s="138"/>
      <x:c r="S67" s="138"/>
      <x:c r="T67" s="138"/>
      <x:c r="U67" s="138"/>
      <x:c r="V67" s="138"/>
      <x:c r="W67" s="138"/>
      <x:c r="X67" s="138"/>
      <x:c r="Y67" s="138"/>
      <x:c r="Z67" s="138"/>
    </x:row>
    <x:row r="68">
      <x:c r="A68" s="138"/>
      <x:c r="B68" s="138"/>
      <x:c r="C68" s="138"/>
      <x:c r="D68" s="138"/>
      <x:c r="E68" s="138"/>
      <x:c r="F68" s="138"/>
      <x:c r="G68" s="138"/>
      <x:c r="H68" s="138"/>
      <x:c r="I68" s="138"/>
      <x:c r="J68" s="138"/>
      <x:c r="K68" s="138"/>
      <x:c r="L68" s="138"/>
      <x:c r="M68" s="138"/>
      <x:c r="N68" s="138"/>
      <x:c r="O68" s="138"/>
      <x:c r="P68" s="138"/>
      <x:c r="Q68" s="138"/>
      <x:c r="R68" s="138"/>
      <x:c r="S68" s="138"/>
      <x:c r="T68" s="138"/>
      <x:c r="U68" s="138"/>
      <x:c r="V68" s="138"/>
      <x:c r="W68" s="138"/>
      <x:c r="X68" s="138"/>
      <x:c r="Y68" s="138"/>
      <x:c r="Z68" s="138"/>
    </x:row>
    <x:row r="69">
      <x:c r="A69" s="138"/>
      <x:c r="B69" s="138"/>
      <x:c r="C69" s="138"/>
      <x:c r="D69" s="138"/>
      <x:c r="E69" s="138"/>
      <x:c r="F69" s="138"/>
      <x:c r="G69" s="138"/>
      <x:c r="H69" s="138"/>
      <x:c r="I69" s="138"/>
      <x:c r="J69" s="138"/>
      <x:c r="K69" s="138"/>
      <x:c r="L69" s="138"/>
      <x:c r="M69" s="138"/>
      <x:c r="N69" s="138"/>
      <x:c r="O69" s="138"/>
      <x:c r="P69" s="138"/>
      <x:c r="Q69" s="138"/>
      <x:c r="R69" s="138"/>
      <x:c r="S69" s="138"/>
      <x:c r="T69" s="138"/>
      <x:c r="U69" s="138"/>
      <x:c r="V69" s="138"/>
      <x:c r="W69" s="138"/>
      <x:c r="X69" s="138"/>
      <x:c r="Y69" s="138"/>
      <x:c r="Z69" s="138"/>
    </x:row>
    <x:row r="70">
      <x:c r="A70" s="138"/>
      <x:c r="B70" s="138"/>
      <x:c r="C70" s="138"/>
      <x:c r="D70" s="138"/>
      <x:c r="E70" s="138"/>
      <x:c r="F70" s="138"/>
      <x:c r="G70" s="138"/>
      <x:c r="H70" s="138"/>
      <x:c r="I70" s="138"/>
      <x:c r="J70" s="138"/>
      <x:c r="K70" s="138"/>
      <x:c r="L70" s="138"/>
      <x:c r="M70" s="138"/>
      <x:c r="N70" s="138"/>
      <x:c r="O70" s="138"/>
      <x:c r="P70" s="138"/>
      <x:c r="Q70" s="138"/>
      <x:c r="R70" s="138"/>
      <x:c r="S70" s="138"/>
      <x:c r="T70" s="138"/>
      <x:c r="U70" s="138"/>
      <x:c r="V70" s="138"/>
      <x:c r="W70" s="138"/>
      <x:c r="X70" s="138"/>
      <x:c r="Y70" s="138"/>
      <x:c r="Z70" s="138"/>
    </x:row>
    <x:row r="71">
      <x:c r="A71" s="138"/>
      <x:c r="B71" s="138"/>
      <x:c r="C71" s="138"/>
      <x:c r="D71" s="138"/>
      <x:c r="E71" s="138"/>
      <x:c r="F71" s="138"/>
      <x:c r="G71" s="138"/>
      <x:c r="H71" s="138"/>
      <x:c r="I71" s="138"/>
      <x:c r="J71" s="138"/>
      <x:c r="K71" s="138"/>
      <x:c r="L71" s="138"/>
      <x:c r="M71" s="138"/>
      <x:c r="N71" s="138"/>
      <x:c r="O71" s="138"/>
      <x:c r="P71" s="138"/>
      <x:c r="Q71" s="138"/>
      <x:c r="R71" s="138"/>
      <x:c r="S71" s="138"/>
      <x:c r="T71" s="138"/>
      <x:c r="U71" s="138"/>
      <x:c r="V71" s="138"/>
      <x:c r="W71" s="138"/>
      <x:c r="X71" s="138"/>
      <x:c r="Y71" s="138"/>
      <x:c r="Z71" s="138"/>
    </x:row>
    <x:row r="72">
      <x:c r="A72" s="138"/>
      <x:c r="B72" s="138"/>
      <x:c r="C72" s="138"/>
      <x:c r="D72" s="138"/>
      <x:c r="E72" s="138"/>
      <x:c r="F72" s="138"/>
      <x:c r="G72" s="138"/>
      <x:c r="H72" s="138"/>
      <x:c r="I72" s="138"/>
      <x:c r="J72" s="138"/>
      <x:c r="K72" s="138"/>
      <x:c r="L72" s="138"/>
      <x:c r="M72" s="138"/>
      <x:c r="N72" s="138"/>
      <x:c r="O72" s="138"/>
      <x:c r="P72" s="138"/>
      <x:c r="Q72" s="138"/>
      <x:c r="R72" s="138"/>
      <x:c r="S72" s="138"/>
      <x:c r="T72" s="138"/>
      <x:c r="U72" s="138"/>
      <x:c r="V72" s="138"/>
      <x:c r="W72" s="138"/>
      <x:c r="X72" s="138"/>
      <x:c r="Y72" s="138"/>
      <x:c r="Z72" s="138"/>
    </x:row>
    <x:row r="73">
      <x:c r="A73" s="138"/>
      <x:c r="B73" s="138"/>
      <x:c r="C73" s="138"/>
      <x:c r="D73" s="138"/>
      <x:c r="E73" s="138"/>
      <x:c r="F73" s="138"/>
      <x:c r="G73" s="138"/>
      <x:c r="H73" s="138"/>
      <x:c r="I73" s="138"/>
      <x:c r="J73" s="138"/>
      <x:c r="K73" s="138"/>
      <x:c r="L73" s="138"/>
      <x:c r="M73" s="138"/>
      <x:c r="N73" s="138"/>
      <x:c r="O73" s="138"/>
      <x:c r="P73" s="138"/>
      <x:c r="Q73" s="138"/>
      <x:c r="R73" s="138"/>
      <x:c r="S73" s="138"/>
      <x:c r="T73" s="138"/>
      <x:c r="U73" s="138"/>
      <x:c r="V73" s="138"/>
      <x:c r="W73" s="138"/>
      <x:c r="X73" s="138"/>
      <x:c r="Y73" s="138"/>
      <x:c r="Z73" s="138"/>
    </x:row>
    <x:row r="74">
      <x:c r="A74" s="138"/>
      <x:c r="B74" s="138"/>
      <x:c r="C74" s="138"/>
      <x:c r="D74" s="138"/>
      <x:c r="E74" s="138"/>
      <x:c r="F74" s="138"/>
      <x:c r="G74" s="138"/>
      <x:c r="H74" s="138"/>
      <x:c r="I74" s="138"/>
      <x:c r="J74" s="138"/>
      <x:c r="K74" s="138"/>
      <x:c r="L74" s="138"/>
      <x:c r="M74" s="138"/>
      <x:c r="N74" s="138"/>
      <x:c r="O74" s="138"/>
      <x:c r="P74" s="138"/>
      <x:c r="Q74" s="138"/>
      <x:c r="R74" s="138"/>
      <x:c r="S74" s="138"/>
      <x:c r="T74" s="138"/>
      <x:c r="U74" s="138"/>
      <x:c r="V74" s="138"/>
      <x:c r="W74" s="138"/>
      <x:c r="X74" s="138"/>
      <x:c r="Y74" s="138"/>
      <x:c r="Z74" s="138"/>
    </x:row>
    <x:row r="75">
      <x:c r="A75" s="138"/>
      <x:c r="B75" s="138"/>
      <x:c r="C75" s="138"/>
      <x:c r="D75" s="138"/>
      <x:c r="E75" s="138"/>
      <x:c r="F75" s="138"/>
      <x:c r="G75" s="138"/>
      <x:c r="H75" s="138"/>
      <x:c r="I75" s="138"/>
      <x:c r="J75" s="138"/>
      <x:c r="K75" s="138"/>
      <x:c r="L75" s="138"/>
      <x:c r="M75" s="138"/>
      <x:c r="N75" s="138"/>
      <x:c r="O75" s="138"/>
      <x:c r="P75" s="138"/>
      <x:c r="Q75" s="138"/>
      <x:c r="R75" s="138"/>
      <x:c r="S75" s="138"/>
      <x:c r="T75" s="138"/>
      <x:c r="U75" s="138"/>
      <x:c r="V75" s="138"/>
      <x:c r="W75" s="138"/>
      <x:c r="X75" s="138"/>
      <x:c r="Y75" s="138"/>
      <x:c r="Z75" s="138"/>
    </x:row>
    <x:row r="76">
      <x:c r="A76" s="138"/>
      <x:c r="B76" s="138"/>
      <x:c r="C76" s="138"/>
      <x:c r="D76" s="138"/>
      <x:c r="E76" s="138"/>
      <x:c r="F76" s="138"/>
      <x:c r="G76" s="138"/>
      <x:c r="H76" s="138"/>
      <x:c r="I76" s="138"/>
      <x:c r="J76" s="138"/>
      <x:c r="K76" s="138"/>
      <x:c r="L76" s="138"/>
      <x:c r="M76" s="138"/>
      <x:c r="N76" s="138"/>
      <x:c r="O76" s="138"/>
      <x:c r="P76" s="138"/>
      <x:c r="Q76" s="138"/>
      <x:c r="R76" s="138"/>
      <x:c r="S76" s="138"/>
      <x:c r="T76" s="138"/>
      <x:c r="U76" s="138"/>
      <x:c r="V76" s="138"/>
      <x:c r="W76" s="138"/>
      <x:c r="X76" s="138"/>
      <x:c r="Y76" s="138"/>
      <x:c r="Z76" s="138"/>
    </x:row>
    <x:row r="77">
      <x:c r="A77" s="138"/>
      <x:c r="B77" s="138"/>
      <x:c r="C77" s="138"/>
      <x:c r="D77" s="138"/>
      <x:c r="E77" s="138"/>
      <x:c r="F77" s="138"/>
      <x:c r="G77" s="138"/>
      <x:c r="H77" s="138"/>
      <x:c r="I77" s="138"/>
      <x:c r="J77" s="138"/>
      <x:c r="K77" s="138"/>
      <x:c r="L77" s="138"/>
      <x:c r="M77" s="138"/>
      <x:c r="N77" s="138"/>
      <x:c r="O77" s="138"/>
      <x:c r="P77" s="138"/>
      <x:c r="Q77" s="138"/>
      <x:c r="R77" s="138"/>
      <x:c r="S77" s="138"/>
      <x:c r="T77" s="138"/>
      <x:c r="U77" s="138"/>
      <x:c r="V77" s="138"/>
      <x:c r="W77" s="138"/>
      <x:c r="X77" s="138"/>
      <x:c r="Y77" s="138"/>
      <x:c r="Z77" s="138"/>
    </x:row>
    <x:row r="78">
      <x:c r="A78" s="138"/>
      <x:c r="B78" s="138"/>
      <x:c r="C78" s="138"/>
      <x:c r="D78" s="138"/>
      <x:c r="E78" s="138"/>
      <x:c r="F78" s="138"/>
      <x:c r="G78" s="138"/>
      <x:c r="H78" s="138"/>
      <x:c r="I78" s="138"/>
      <x:c r="J78" s="138"/>
      <x:c r="K78" s="138"/>
      <x:c r="L78" s="138"/>
      <x:c r="M78" s="138"/>
      <x:c r="N78" s="138"/>
      <x:c r="O78" s="138"/>
      <x:c r="P78" s="138"/>
      <x:c r="Q78" s="138"/>
      <x:c r="R78" s="138"/>
      <x:c r="S78" s="138"/>
      <x:c r="T78" s="138"/>
      <x:c r="U78" s="138"/>
      <x:c r="V78" s="138"/>
      <x:c r="W78" s="138"/>
      <x:c r="X78" s="138"/>
      <x:c r="Y78" s="138"/>
      <x:c r="Z78" s="138"/>
    </x:row>
    <x:row r="79">
      <x:c r="A79" s="138"/>
      <x:c r="B79" s="138"/>
      <x:c r="C79" s="138"/>
      <x:c r="D79" s="138"/>
      <x:c r="E79" s="138"/>
      <x:c r="F79" s="138"/>
      <x:c r="G79" s="138"/>
      <x:c r="H79" s="138"/>
      <x:c r="I79" s="138"/>
      <x:c r="J79" s="138"/>
      <x:c r="K79" s="138"/>
      <x:c r="L79" s="138"/>
      <x:c r="M79" s="138"/>
      <x:c r="N79" s="138"/>
      <x:c r="O79" s="138"/>
      <x:c r="P79" s="138"/>
      <x:c r="Q79" s="138"/>
      <x:c r="R79" s="138"/>
      <x:c r="S79" s="138"/>
      <x:c r="T79" s="138"/>
      <x:c r="U79" s="138"/>
      <x:c r="V79" s="138"/>
      <x:c r="W79" s="138"/>
      <x:c r="X79" s="138"/>
      <x:c r="Y79" s="138"/>
      <x:c r="Z79" s="138"/>
    </x:row>
    <x:row r="80">
      <x:c r="A80" s="138"/>
      <x:c r="B80" s="138"/>
      <x:c r="C80" s="138"/>
      <x:c r="D80" s="138"/>
      <x:c r="E80" s="138"/>
      <x:c r="F80" s="138"/>
      <x:c r="G80" s="138"/>
      <x:c r="H80" s="138"/>
      <x:c r="I80" s="138"/>
      <x:c r="J80" s="138"/>
      <x:c r="K80" s="138"/>
      <x:c r="L80" s="138"/>
      <x:c r="M80" s="138"/>
      <x:c r="N80" s="138"/>
      <x:c r="O80" s="138"/>
      <x:c r="P80" s="138"/>
      <x:c r="Q80" s="138"/>
      <x:c r="R80" s="138"/>
      <x:c r="S80" s="138"/>
      <x:c r="T80" s="138"/>
      <x:c r="U80" s="138"/>
      <x:c r="V80" s="138"/>
      <x:c r="W80" s="138"/>
      <x:c r="X80" s="138"/>
      <x:c r="Y80" s="138"/>
      <x:c r="Z80" s="138"/>
    </x:row>
    <x:row r="81">
      <x:c r="A81" s="138"/>
      <x:c r="B81" s="138"/>
      <x:c r="C81" s="138"/>
      <x:c r="D81" s="138"/>
      <x:c r="E81" s="138"/>
      <x:c r="F81" s="138"/>
      <x:c r="G81" s="138"/>
      <x:c r="H81" s="138"/>
      <x:c r="I81" s="138"/>
      <x:c r="J81" s="138"/>
      <x:c r="K81" s="138"/>
      <x:c r="L81" s="138"/>
      <x:c r="M81" s="138"/>
      <x:c r="N81" s="138"/>
      <x:c r="O81" s="138"/>
      <x:c r="P81" s="138"/>
      <x:c r="Q81" s="138"/>
      <x:c r="R81" s="138"/>
      <x:c r="S81" s="138"/>
      <x:c r="T81" s="138"/>
      <x:c r="U81" s="138"/>
      <x:c r="V81" s="138"/>
      <x:c r="W81" s="138"/>
      <x:c r="X81" s="138"/>
      <x:c r="Y81" s="138"/>
      <x:c r="Z81" s="138"/>
    </x:row>
    <x:row r="82">
      <x:c r="A82" s="138"/>
      <x:c r="B82" s="138"/>
      <x:c r="C82" s="138"/>
      <x:c r="D82" s="138"/>
      <x:c r="E82" s="138"/>
      <x:c r="F82" s="138"/>
      <x:c r="G82" s="138"/>
      <x:c r="H82" s="138"/>
      <x:c r="I82" s="138"/>
      <x:c r="J82" s="138"/>
      <x:c r="K82" s="138"/>
      <x:c r="L82" s="138"/>
      <x:c r="M82" s="138"/>
      <x:c r="N82" s="138"/>
      <x:c r="O82" s="138"/>
      <x:c r="P82" s="138"/>
      <x:c r="Q82" s="138"/>
      <x:c r="R82" s="138"/>
      <x:c r="S82" s="138"/>
      <x:c r="T82" s="138"/>
      <x:c r="U82" s="138"/>
      <x:c r="V82" s="138"/>
      <x:c r="W82" s="138"/>
      <x:c r="X82" s="138"/>
      <x:c r="Y82" s="138"/>
      <x:c r="Z82" s="138"/>
    </x:row>
    <x:row r="83">
      <x:c r="A83" s="138"/>
      <x:c r="B83" s="138"/>
      <x:c r="C83" s="138"/>
      <x:c r="D83" s="138"/>
      <x:c r="E83" s="138"/>
      <x:c r="F83" s="138"/>
      <x:c r="G83" s="138"/>
      <x:c r="H83" s="138"/>
      <x:c r="I83" s="138"/>
      <x:c r="J83" s="138"/>
      <x:c r="K83" s="138"/>
      <x:c r="L83" s="138"/>
      <x:c r="M83" s="138"/>
      <x:c r="N83" s="138"/>
      <x:c r="O83" s="138"/>
      <x:c r="P83" s="138"/>
      <x:c r="Q83" s="138"/>
      <x:c r="R83" s="138"/>
      <x:c r="S83" s="138"/>
      <x:c r="T83" s="138"/>
      <x:c r="U83" s="138"/>
      <x:c r="V83" s="138"/>
      <x:c r="W83" s="138"/>
      <x:c r="X83" s="138"/>
      <x:c r="Y83" s="138"/>
      <x:c r="Z83" s="138"/>
    </x:row>
    <x:row r="84">
      <x:c r="A84" s="138"/>
      <x:c r="B84" s="138"/>
      <x:c r="C84" s="138"/>
      <x:c r="D84" s="138"/>
      <x:c r="E84" s="138"/>
      <x:c r="F84" s="138"/>
      <x:c r="G84" s="138"/>
      <x:c r="H84" s="138"/>
      <x:c r="I84" s="138"/>
      <x:c r="J84" s="138"/>
      <x:c r="K84" s="138"/>
      <x:c r="L84" s="138"/>
      <x:c r="M84" s="138"/>
      <x:c r="N84" s="138"/>
      <x:c r="O84" s="138"/>
      <x:c r="P84" s="138"/>
      <x:c r="Q84" s="138"/>
      <x:c r="R84" s="138"/>
      <x:c r="S84" s="138"/>
      <x:c r="T84" s="138"/>
      <x:c r="U84" s="138"/>
      <x:c r="V84" s="138"/>
      <x:c r="W84" s="138"/>
      <x:c r="X84" s="138"/>
      <x:c r="Y84" s="138"/>
      <x:c r="Z84" s="138"/>
    </x:row>
    <x:row r="85">
      <x:c r="A85" s="138"/>
      <x:c r="B85" s="138"/>
      <x:c r="C85" s="138"/>
      <x:c r="D85" s="138"/>
      <x:c r="E85" s="138"/>
      <x:c r="F85" s="138"/>
      <x:c r="G85" s="138"/>
      <x:c r="H85" s="138"/>
      <x:c r="I85" s="138"/>
      <x:c r="J85" s="138"/>
      <x:c r="K85" s="138"/>
      <x:c r="L85" s="138"/>
      <x:c r="M85" s="138"/>
      <x:c r="N85" s="138"/>
      <x:c r="O85" s="138"/>
      <x:c r="P85" s="138"/>
      <x:c r="Q85" s="138"/>
      <x:c r="R85" s="138"/>
      <x:c r="S85" s="138"/>
      <x:c r="T85" s="138"/>
      <x:c r="U85" s="138"/>
      <x:c r="V85" s="138"/>
      <x:c r="W85" s="138"/>
      <x:c r="X85" s="138"/>
      <x:c r="Y85" s="138"/>
      <x:c r="Z85" s="138"/>
    </x:row>
    <x:row r="86">
      <x:c r="A86" s="138"/>
      <x:c r="B86" s="138"/>
      <x:c r="C86" s="138"/>
      <x:c r="D86" s="138"/>
      <x:c r="E86" s="138"/>
      <x:c r="F86" s="138"/>
      <x:c r="G86" s="138"/>
      <x:c r="H86" s="138"/>
      <x:c r="I86" s="138"/>
      <x:c r="J86" s="138"/>
      <x:c r="K86" s="138"/>
      <x:c r="L86" s="138"/>
      <x:c r="M86" s="138"/>
      <x:c r="N86" s="138"/>
      <x:c r="O86" s="138"/>
      <x:c r="P86" s="138"/>
      <x:c r="Q86" s="138"/>
      <x:c r="R86" s="138"/>
      <x:c r="S86" s="138"/>
      <x:c r="T86" s="138"/>
      <x:c r="U86" s="138"/>
      <x:c r="V86" s="138"/>
      <x:c r="W86" s="138"/>
      <x:c r="X86" s="138"/>
      <x:c r="Y86" s="138"/>
      <x:c r="Z86" s="138"/>
    </x:row>
    <x:row r="87">
      <x:c r="A87" s="138"/>
      <x:c r="B87" s="138"/>
      <x:c r="C87" s="138"/>
      <x:c r="D87" s="138"/>
      <x:c r="E87" s="138"/>
      <x:c r="F87" s="138"/>
      <x:c r="G87" s="138"/>
      <x:c r="H87" s="138"/>
      <x:c r="I87" s="138"/>
      <x:c r="J87" s="138"/>
      <x:c r="K87" s="138"/>
      <x:c r="L87" s="138"/>
      <x:c r="M87" s="138"/>
      <x:c r="N87" s="138"/>
      <x:c r="O87" s="138"/>
      <x:c r="P87" s="138"/>
      <x:c r="Q87" s="138"/>
      <x:c r="R87" s="138"/>
      <x:c r="S87" s="138"/>
      <x:c r="T87" s="138"/>
      <x:c r="U87" s="138"/>
      <x:c r="V87" s="138"/>
      <x:c r="W87" s="138"/>
      <x:c r="X87" s="138"/>
      <x:c r="Y87" s="138"/>
      <x:c r="Z87" s="138"/>
    </x:row>
    <x:row r="88">
      <x:c r="A88" s="138"/>
      <x:c r="B88" s="138"/>
      <x:c r="C88" s="138"/>
      <x:c r="D88" s="138"/>
      <x:c r="E88" s="138"/>
      <x:c r="F88" s="138"/>
      <x:c r="G88" s="138"/>
      <x:c r="H88" s="138"/>
      <x:c r="I88" s="138"/>
      <x:c r="J88" s="138"/>
      <x:c r="K88" s="138"/>
      <x:c r="L88" s="138"/>
      <x:c r="M88" s="138"/>
      <x:c r="N88" s="138"/>
      <x:c r="O88" s="138"/>
      <x:c r="P88" s="138"/>
      <x:c r="Q88" s="138"/>
      <x:c r="R88" s="138"/>
      <x:c r="S88" s="138"/>
      <x:c r="T88" s="138"/>
      <x:c r="U88" s="138"/>
      <x:c r="V88" s="138"/>
      <x:c r="W88" s="138"/>
      <x:c r="X88" s="138"/>
      <x:c r="Y88" s="138"/>
      <x:c r="Z88" s="138"/>
    </x:row>
    <x:row r="89">
      <x:c r="A89" s="138"/>
      <x:c r="B89" s="138"/>
      <x:c r="C89" s="138"/>
      <x:c r="D89" s="138"/>
      <x:c r="E89" s="138"/>
      <x:c r="F89" s="138"/>
      <x:c r="G89" s="138"/>
      <x:c r="H89" s="138"/>
      <x:c r="I89" s="138"/>
      <x:c r="J89" s="138"/>
      <x:c r="K89" s="138"/>
      <x:c r="L89" s="138"/>
      <x:c r="M89" s="138"/>
      <x:c r="N89" s="138"/>
      <x:c r="O89" s="138"/>
      <x:c r="P89" s="138"/>
      <x:c r="Q89" s="138"/>
      <x:c r="R89" s="138"/>
      <x:c r="S89" s="138"/>
      <x:c r="T89" s="138"/>
      <x:c r="U89" s="138"/>
      <x:c r="V89" s="138"/>
      <x:c r="W89" s="138"/>
      <x:c r="X89" s="138"/>
      <x:c r="Y89" s="138"/>
      <x:c r="Z89" s="138"/>
    </x:row>
    <x:row r="90">
      <x:c r="A90" s="138"/>
      <x:c r="B90" s="138"/>
      <x:c r="C90" s="138"/>
      <x:c r="D90" s="138"/>
      <x:c r="E90" s="138"/>
      <x:c r="F90" s="138"/>
      <x:c r="G90" s="138"/>
      <x:c r="H90" s="138"/>
      <x:c r="I90" s="138"/>
      <x:c r="J90" s="138"/>
      <x:c r="K90" s="138"/>
      <x:c r="L90" s="138"/>
      <x:c r="M90" s="138"/>
      <x:c r="N90" s="138"/>
      <x:c r="O90" s="138"/>
      <x:c r="P90" s="138"/>
      <x:c r="Q90" s="138"/>
      <x:c r="R90" s="138"/>
      <x:c r="S90" s="138"/>
      <x:c r="T90" s="138"/>
      <x:c r="U90" s="138"/>
      <x:c r="V90" s="138"/>
      <x:c r="W90" s="138"/>
      <x:c r="X90" s="138"/>
      <x:c r="Y90" s="138"/>
      <x:c r="Z90" s="138"/>
    </x:row>
    <x:row r="91">
      <x:c r="A91" s="138"/>
      <x:c r="B91" s="138"/>
      <x:c r="C91" s="138"/>
      <x:c r="D91" s="138"/>
      <x:c r="E91" s="138"/>
      <x:c r="F91" s="138"/>
      <x:c r="G91" s="138"/>
      <x:c r="H91" s="138"/>
      <x:c r="I91" s="138"/>
      <x:c r="J91" s="138"/>
      <x:c r="K91" s="138"/>
      <x:c r="L91" s="138"/>
      <x:c r="M91" s="138"/>
      <x:c r="N91" s="138"/>
      <x:c r="O91" s="138"/>
      <x:c r="P91" s="138"/>
      <x:c r="Q91" s="138"/>
      <x:c r="R91" s="138"/>
      <x:c r="S91" s="138"/>
      <x:c r="T91" s="138"/>
      <x:c r="U91" s="138"/>
      <x:c r="V91" s="138"/>
      <x:c r="W91" s="138"/>
      <x:c r="X91" s="138"/>
      <x:c r="Y91" s="138"/>
      <x:c r="Z91" s="138"/>
    </x:row>
    <x:row r="92">
      <x:c r="A92" s="138"/>
      <x:c r="B92" s="138"/>
      <x:c r="C92" s="138"/>
      <x:c r="D92" s="138"/>
      <x:c r="E92" s="138"/>
      <x:c r="F92" s="138"/>
      <x:c r="G92" s="138"/>
      <x:c r="H92" s="138"/>
      <x:c r="I92" s="138"/>
      <x:c r="J92" s="138"/>
      <x:c r="K92" s="138"/>
      <x:c r="L92" s="138"/>
      <x:c r="M92" s="138"/>
      <x:c r="N92" s="138"/>
      <x:c r="O92" s="138"/>
      <x:c r="P92" s="138"/>
      <x:c r="Q92" s="138"/>
      <x:c r="R92" s="138"/>
      <x:c r="S92" s="138"/>
      <x:c r="T92" s="138"/>
      <x:c r="U92" s="138"/>
      <x:c r="V92" s="138"/>
      <x:c r="W92" s="138"/>
      <x:c r="X92" s="138"/>
      <x:c r="Y92" s="138"/>
      <x:c r="Z92" s="138"/>
    </x:row>
    <x:row r="93">
      <x:c r="A93" s="138"/>
      <x:c r="B93" s="138"/>
      <x:c r="C93" s="138"/>
      <x:c r="D93" s="138"/>
      <x:c r="E93" s="138"/>
      <x:c r="F93" s="138"/>
      <x:c r="G93" s="138"/>
      <x:c r="H93" s="138"/>
      <x:c r="I93" s="138"/>
      <x:c r="J93" s="138"/>
      <x:c r="K93" s="138"/>
      <x:c r="L93" s="138"/>
      <x:c r="M93" s="138"/>
      <x:c r="N93" s="138"/>
      <x:c r="O93" s="138"/>
      <x:c r="P93" s="138"/>
      <x:c r="Q93" s="138"/>
      <x:c r="R93" s="138"/>
      <x:c r="S93" s="138"/>
      <x:c r="T93" s="138"/>
      <x:c r="U93" s="138"/>
      <x:c r="V93" s="138"/>
      <x:c r="W93" s="138"/>
      <x:c r="X93" s="138"/>
      <x:c r="Y93" s="138"/>
      <x:c r="Z93" s="138"/>
    </x:row>
    <x:row r="94">
      <x:c r="A94" s="138"/>
      <x:c r="B94" s="138"/>
      <x:c r="C94" s="138"/>
      <x:c r="D94" s="138"/>
      <x:c r="E94" s="138"/>
      <x:c r="F94" s="138"/>
      <x:c r="G94" s="138"/>
      <x:c r="H94" s="138"/>
      <x:c r="I94" s="138"/>
      <x:c r="J94" s="138"/>
      <x:c r="K94" s="138"/>
      <x:c r="L94" s="138"/>
      <x:c r="M94" s="138"/>
      <x:c r="N94" s="138"/>
      <x:c r="O94" s="138"/>
      <x:c r="P94" s="138"/>
      <x:c r="Q94" s="138"/>
      <x:c r="R94" s="138"/>
      <x:c r="S94" s="138"/>
      <x:c r="T94" s="138"/>
      <x:c r="U94" s="138"/>
      <x:c r="V94" s="138"/>
      <x:c r="W94" s="138"/>
      <x:c r="X94" s="138"/>
      <x:c r="Y94" s="138"/>
      <x:c r="Z94" s="138"/>
    </x:row>
    <x:row r="95">
      <x:c r="A95" s="138"/>
      <x:c r="B95" s="138"/>
      <x:c r="C95" s="138"/>
      <x:c r="D95" s="138"/>
      <x:c r="E95" s="138"/>
      <x:c r="F95" s="138"/>
      <x:c r="G95" s="138"/>
      <x:c r="H95" s="138"/>
      <x:c r="I95" s="138"/>
      <x:c r="J95" s="138"/>
      <x:c r="K95" s="138"/>
      <x:c r="L95" s="138"/>
      <x:c r="M95" s="138"/>
      <x:c r="N95" s="138"/>
      <x:c r="O95" s="138"/>
      <x:c r="P95" s="138"/>
      <x:c r="Q95" s="138"/>
      <x:c r="R95" s="138"/>
      <x:c r="S95" s="138"/>
      <x:c r="T95" s="138"/>
      <x:c r="U95" s="138"/>
      <x:c r="V95" s="138"/>
      <x:c r="W95" s="138"/>
      <x:c r="X95" s="138"/>
      <x:c r="Y95" s="138"/>
      <x:c r="Z95" s="138"/>
    </x:row>
    <x:row r="96">
      <x:c r="A96" s="138"/>
      <x:c r="B96" s="138"/>
      <x:c r="C96" s="138"/>
      <x:c r="D96" s="138"/>
      <x:c r="E96" s="138"/>
      <x:c r="F96" s="138"/>
      <x:c r="G96" s="138"/>
      <x:c r="H96" s="138"/>
      <x:c r="I96" s="138"/>
      <x:c r="J96" s="138"/>
      <x:c r="K96" s="138"/>
      <x:c r="L96" s="138"/>
      <x:c r="M96" s="138"/>
      <x:c r="N96" s="138"/>
      <x:c r="O96" s="138"/>
      <x:c r="P96" s="138"/>
      <x:c r="Q96" s="138"/>
      <x:c r="R96" s="138"/>
      <x:c r="S96" s="138"/>
      <x:c r="T96" s="138"/>
      <x:c r="U96" s="138"/>
      <x:c r="V96" s="138"/>
      <x:c r="W96" s="138"/>
      <x:c r="X96" s="138"/>
      <x:c r="Y96" s="138"/>
      <x:c r="Z96" s="138"/>
    </x:row>
    <x:row r="97">
      <x:c r="A97" s="138"/>
      <x:c r="B97" s="138"/>
      <x:c r="C97" s="138"/>
      <x:c r="D97" s="138"/>
      <x:c r="E97" s="138"/>
      <x:c r="F97" s="138"/>
      <x:c r="G97" s="138"/>
      <x:c r="H97" s="138"/>
      <x:c r="I97" s="138"/>
      <x:c r="J97" s="138"/>
      <x:c r="K97" s="138"/>
      <x:c r="L97" s="138"/>
      <x:c r="M97" s="138"/>
      <x:c r="N97" s="138"/>
      <x:c r="O97" s="138"/>
      <x:c r="P97" s="138"/>
      <x:c r="Q97" s="138"/>
      <x:c r="R97" s="138"/>
      <x:c r="S97" s="138"/>
      <x:c r="T97" s="138"/>
      <x:c r="U97" s="138"/>
      <x:c r="V97" s="138"/>
      <x:c r="W97" s="138"/>
      <x:c r="X97" s="138"/>
      <x:c r="Y97" s="138"/>
      <x:c r="Z97" s="138"/>
    </x:row>
    <x:row r="98">
      <x:c r="A98" s="138"/>
      <x:c r="B98" s="138"/>
      <x:c r="C98" s="138"/>
      <x:c r="D98" s="138"/>
      <x:c r="E98" s="138"/>
      <x:c r="F98" s="138"/>
      <x:c r="G98" s="138"/>
      <x:c r="H98" s="138"/>
      <x:c r="I98" s="138"/>
      <x:c r="J98" s="138"/>
      <x:c r="K98" s="138"/>
      <x:c r="L98" s="138"/>
      <x:c r="M98" s="138"/>
      <x:c r="N98" s="138"/>
      <x:c r="O98" s="138"/>
      <x:c r="P98" s="138"/>
      <x:c r="Q98" s="138"/>
      <x:c r="R98" s="138"/>
      <x:c r="S98" s="138"/>
      <x:c r="T98" s="138"/>
      <x:c r="U98" s="138"/>
      <x:c r="V98" s="138"/>
      <x:c r="W98" s="138"/>
      <x:c r="X98" s="138"/>
      <x:c r="Y98" s="138"/>
      <x:c r="Z98" s="138"/>
    </x:row>
    <x:row r="99">
      <x:c r="A99" s="138"/>
      <x:c r="B99" s="138"/>
      <x:c r="C99" s="138"/>
      <x:c r="D99" s="138"/>
      <x:c r="E99" s="138"/>
      <x:c r="F99" s="138"/>
      <x:c r="G99" s="138"/>
      <x:c r="H99" s="138"/>
      <x:c r="I99" s="138"/>
      <x:c r="J99" s="138"/>
      <x:c r="K99" s="138"/>
      <x:c r="L99" s="138"/>
      <x:c r="M99" s="138"/>
      <x:c r="N99" s="138"/>
      <x:c r="O99" s="138"/>
      <x:c r="P99" s="138"/>
      <x:c r="Q99" s="138"/>
      <x:c r="R99" s="138"/>
      <x:c r="S99" s="138"/>
      <x:c r="T99" s="138"/>
      <x:c r="U99" s="138"/>
      <x:c r="V99" s="138"/>
      <x:c r="W99" s="138"/>
      <x:c r="X99" s="138"/>
      <x:c r="Y99" s="138"/>
      <x:c r="Z99" s="138"/>
    </x:row>
    <x:row r="100">
      <x:c r="A100" s="138"/>
      <x:c r="B100" s="138"/>
      <x:c r="C100" s="138"/>
      <x:c r="D100" s="138"/>
      <x:c r="E100" s="138"/>
      <x:c r="F100" s="138"/>
      <x:c r="G100" s="138"/>
      <x:c r="H100" s="138"/>
      <x:c r="I100" s="138"/>
      <x:c r="J100" s="138"/>
      <x:c r="K100" s="138"/>
      <x:c r="L100" s="138"/>
      <x:c r="M100" s="138"/>
      <x:c r="N100" s="138"/>
      <x:c r="O100" s="138"/>
      <x:c r="P100" s="138"/>
      <x:c r="Q100" s="138"/>
      <x:c r="R100" s="138"/>
      <x:c r="S100" s="138"/>
      <x:c r="T100" s="138"/>
      <x:c r="U100" s="138"/>
      <x:c r="V100" s="138"/>
      <x:c r="W100" s="138"/>
      <x:c r="X100" s="138"/>
      <x:c r="Y100" s="138"/>
      <x:c r="Z100" s="138"/>
    </x:row>
    <x:row r="101">
      <x:c r="A101" s="138"/>
      <x:c r="B101" s="138"/>
      <x:c r="C101" s="138"/>
      <x:c r="D101" s="138"/>
      <x:c r="E101" s="138"/>
      <x:c r="F101" s="138"/>
      <x:c r="G101" s="138"/>
      <x:c r="H101" s="138"/>
      <x:c r="I101" s="138"/>
      <x:c r="J101" s="138"/>
      <x:c r="K101" s="138"/>
      <x:c r="L101" s="138"/>
      <x:c r="M101" s="138"/>
      <x:c r="N101" s="138"/>
      <x:c r="O101" s="138"/>
      <x:c r="P101" s="138"/>
      <x:c r="Q101" s="138"/>
      <x:c r="R101" s="138"/>
      <x:c r="S101" s="138"/>
      <x:c r="T101" s="138"/>
      <x:c r="U101" s="138"/>
      <x:c r="V101" s="138"/>
      <x:c r="W101" s="138"/>
      <x:c r="X101" s="138"/>
      <x:c r="Y101" s="138"/>
      <x:c r="Z101" s="138"/>
    </x:row>
    <x:row r="102">
      <x:c r="A102" s="138"/>
      <x:c r="B102" s="138"/>
      <x:c r="C102" s="138"/>
      <x:c r="D102" s="138"/>
      <x:c r="E102" s="138"/>
      <x:c r="F102" s="138"/>
      <x:c r="G102" s="138"/>
      <x:c r="H102" s="138"/>
      <x:c r="I102" s="138"/>
      <x:c r="J102" s="138"/>
      <x:c r="K102" s="138"/>
      <x:c r="L102" s="138"/>
      <x:c r="M102" s="138"/>
      <x:c r="N102" s="138"/>
      <x:c r="O102" s="138"/>
      <x:c r="P102" s="138"/>
      <x:c r="Q102" s="138"/>
      <x:c r="R102" s="138"/>
      <x:c r="S102" s="138"/>
      <x:c r="T102" s="138"/>
      <x:c r="U102" s="138"/>
      <x:c r="V102" s="138"/>
      <x:c r="W102" s="138"/>
      <x:c r="X102" s="138"/>
      <x:c r="Y102" s="138"/>
      <x:c r="Z102" s="138"/>
    </x:row>
    <x:row r="103">
      <x:c r="A103" s="138"/>
      <x:c r="B103" s="138"/>
      <x:c r="C103" s="138"/>
      <x:c r="D103" s="138"/>
      <x:c r="E103" s="138"/>
      <x:c r="F103" s="138"/>
      <x:c r="G103" s="138"/>
      <x:c r="H103" s="138"/>
      <x:c r="I103" s="138"/>
      <x:c r="J103" s="138"/>
      <x:c r="K103" s="138"/>
      <x:c r="L103" s="138"/>
      <x:c r="M103" s="138"/>
      <x:c r="N103" s="138"/>
      <x:c r="O103" s="138"/>
      <x:c r="P103" s="138"/>
      <x:c r="Q103" s="138"/>
      <x:c r="R103" s="138"/>
      <x:c r="S103" s="138"/>
      <x:c r="T103" s="138"/>
      <x:c r="U103" s="138"/>
      <x:c r="V103" s="138"/>
      <x:c r="W103" s="138"/>
      <x:c r="X103" s="138"/>
      <x:c r="Y103" s="138"/>
      <x:c r="Z103" s="138"/>
    </x:row>
    <x:row r="104">
      <x:c r="A104" s="138"/>
      <x:c r="B104" s="138"/>
      <x:c r="C104" s="138"/>
      <x:c r="D104" s="138"/>
      <x:c r="E104" s="138"/>
      <x:c r="F104" s="138"/>
      <x:c r="G104" s="138"/>
      <x:c r="H104" s="138"/>
      <x:c r="I104" s="138"/>
      <x:c r="J104" s="138"/>
      <x:c r="K104" s="138"/>
      <x:c r="L104" s="138"/>
      <x:c r="M104" s="138"/>
      <x:c r="N104" s="138"/>
      <x:c r="O104" s="138"/>
      <x:c r="P104" s="138"/>
      <x:c r="Q104" s="138"/>
      <x:c r="R104" s="138"/>
      <x:c r="S104" s="138"/>
      <x:c r="T104" s="138"/>
      <x:c r="U104" s="138"/>
      <x:c r="V104" s="138"/>
      <x:c r="W104" s="138"/>
      <x:c r="X104" s="138"/>
      <x:c r="Y104" s="138"/>
      <x:c r="Z104" s="138"/>
    </x:row>
    <x:row r="105">
      <x:c r="A105" s="138"/>
      <x:c r="B105" s="138"/>
      <x:c r="C105" s="138"/>
      <x:c r="D105" s="138"/>
      <x:c r="E105" s="138"/>
      <x:c r="F105" s="138"/>
      <x:c r="G105" s="138"/>
      <x:c r="H105" s="138"/>
      <x:c r="I105" s="138"/>
      <x:c r="J105" s="138"/>
      <x:c r="K105" s="138"/>
      <x:c r="L105" s="138"/>
      <x:c r="M105" s="138"/>
      <x:c r="N105" s="138"/>
      <x:c r="O105" s="138"/>
      <x:c r="P105" s="138"/>
      <x:c r="Q105" s="138"/>
      <x:c r="R105" s="138"/>
      <x:c r="S105" s="138"/>
      <x:c r="T105" s="138"/>
      <x:c r="U105" s="138"/>
      <x:c r="V105" s="138"/>
      <x:c r="W105" s="138"/>
      <x:c r="X105" s="138"/>
      <x:c r="Y105" s="138"/>
      <x:c r="Z105" s="138"/>
    </x:row>
    <x:row r="106">
      <x:c r="A106" s="138"/>
      <x:c r="B106" s="138"/>
      <x:c r="C106" s="138"/>
      <x:c r="D106" s="138"/>
      <x:c r="E106" s="138"/>
      <x:c r="F106" s="138"/>
      <x:c r="G106" s="138"/>
      <x:c r="H106" s="138"/>
      <x:c r="I106" s="138"/>
      <x:c r="J106" s="138"/>
      <x:c r="K106" s="138"/>
      <x:c r="L106" s="138"/>
      <x:c r="M106" s="138"/>
      <x:c r="N106" s="138"/>
      <x:c r="O106" s="138"/>
      <x:c r="P106" s="138"/>
      <x:c r="Q106" s="138"/>
      <x:c r="R106" s="138"/>
      <x:c r="S106" s="138"/>
      <x:c r="T106" s="138"/>
      <x:c r="U106" s="138"/>
      <x:c r="V106" s="138"/>
      <x:c r="W106" s="138"/>
      <x:c r="X106" s="138"/>
      <x:c r="Y106" s="138"/>
      <x:c r="Z106" s="138"/>
    </x:row>
    <x:row r="107">
      <x:c r="A107" s="138"/>
      <x:c r="B107" s="138"/>
      <x:c r="C107" s="138"/>
      <x:c r="D107" s="138"/>
      <x:c r="E107" s="138"/>
      <x:c r="F107" s="138"/>
      <x:c r="G107" s="138"/>
      <x:c r="H107" s="138"/>
      <x:c r="I107" s="138"/>
      <x:c r="J107" s="138"/>
      <x:c r="K107" s="138"/>
      <x:c r="L107" s="138"/>
      <x:c r="M107" s="138"/>
      <x:c r="N107" s="138"/>
      <x:c r="O107" s="138"/>
      <x:c r="P107" s="138"/>
      <x:c r="Q107" s="138"/>
      <x:c r="R107" s="138"/>
      <x:c r="S107" s="138"/>
      <x:c r="T107" s="138"/>
      <x:c r="U107" s="138"/>
      <x:c r="V107" s="138"/>
      <x:c r="W107" s="138"/>
      <x:c r="X107" s="138"/>
      <x:c r="Y107" s="138"/>
      <x:c r="Z107" s="138"/>
    </x:row>
    <x:row r="108">
      <x:c r="A108" s="138"/>
      <x:c r="B108" s="138"/>
      <x:c r="C108" s="138"/>
      <x:c r="D108" s="138"/>
      <x:c r="E108" s="138"/>
      <x:c r="F108" s="138"/>
      <x:c r="G108" s="138"/>
      <x:c r="H108" s="138"/>
      <x:c r="I108" s="138"/>
      <x:c r="J108" s="138"/>
      <x:c r="K108" s="138"/>
      <x:c r="L108" s="138"/>
      <x:c r="M108" s="138"/>
      <x:c r="N108" s="138"/>
      <x:c r="O108" s="138"/>
      <x:c r="P108" s="138"/>
      <x:c r="Q108" s="138"/>
      <x:c r="R108" s="138"/>
      <x:c r="S108" s="138"/>
      <x:c r="T108" s="138"/>
      <x:c r="U108" s="138"/>
      <x:c r="V108" s="138"/>
      <x:c r="W108" s="138"/>
      <x:c r="X108" s="138"/>
      <x:c r="Y108" s="138"/>
      <x:c r="Z108" s="138"/>
    </x:row>
    <x:row r="109">
      <x:c r="A109" s="138"/>
      <x:c r="B109" s="138"/>
      <x:c r="C109" s="138"/>
      <x:c r="D109" s="138"/>
      <x:c r="E109" s="138"/>
      <x:c r="F109" s="138"/>
      <x:c r="G109" s="138"/>
      <x:c r="H109" s="138"/>
      <x:c r="I109" s="138"/>
      <x:c r="J109" s="138"/>
      <x:c r="K109" s="138"/>
      <x:c r="L109" s="138"/>
      <x:c r="M109" s="138"/>
      <x:c r="N109" s="138"/>
      <x:c r="O109" s="138"/>
      <x:c r="P109" s="138"/>
      <x:c r="Q109" s="138"/>
      <x:c r="R109" s="138"/>
      <x:c r="S109" s="138"/>
      <x:c r="T109" s="138"/>
      <x:c r="U109" s="138"/>
      <x:c r="V109" s="138"/>
      <x:c r="W109" s="138"/>
      <x:c r="X109" s="138"/>
      <x:c r="Y109" s="138"/>
      <x:c r="Z109" s="138"/>
    </x:row>
    <x:row r="110">
      <x:c r="A110" s="138"/>
      <x:c r="B110" s="138"/>
      <x:c r="C110" s="138"/>
      <x:c r="D110" s="138"/>
      <x:c r="E110" s="138"/>
      <x:c r="F110" s="138"/>
      <x:c r="G110" s="138"/>
      <x:c r="H110" s="138"/>
      <x:c r="I110" s="138"/>
      <x:c r="J110" s="138"/>
      <x:c r="K110" s="138"/>
      <x:c r="L110" s="138"/>
      <x:c r="M110" s="138"/>
      <x:c r="N110" s="138"/>
      <x:c r="O110" s="138"/>
      <x:c r="P110" s="138"/>
      <x:c r="Q110" s="138"/>
      <x:c r="R110" s="138"/>
      <x:c r="S110" s="138"/>
      <x:c r="T110" s="138"/>
      <x:c r="U110" s="138"/>
      <x:c r="V110" s="138"/>
      <x:c r="W110" s="138"/>
      <x:c r="X110" s="138"/>
      <x:c r="Y110" s="138"/>
      <x:c r="Z110" s="138"/>
    </x:row>
    <x:row r="111">
      <x:c r="A111" s="138"/>
      <x:c r="B111" s="138"/>
      <x:c r="C111" s="138"/>
      <x:c r="D111" s="138"/>
      <x:c r="E111" s="138"/>
      <x:c r="F111" s="138"/>
      <x:c r="G111" s="138"/>
      <x:c r="H111" s="138"/>
      <x:c r="I111" s="138"/>
      <x:c r="J111" s="138"/>
      <x:c r="K111" s="138"/>
      <x:c r="L111" s="138"/>
      <x:c r="M111" s="138"/>
      <x:c r="N111" s="138"/>
      <x:c r="O111" s="138"/>
      <x:c r="P111" s="138"/>
      <x:c r="Q111" s="138"/>
      <x:c r="R111" s="138"/>
      <x:c r="S111" s="138"/>
      <x:c r="T111" s="138"/>
      <x:c r="U111" s="138"/>
      <x:c r="V111" s="138"/>
      <x:c r="W111" s="138"/>
      <x:c r="X111" s="138"/>
      <x:c r="Y111" s="138"/>
      <x:c r="Z111" s="138"/>
    </x:row>
    <x:row r="112">
      <x:c r="A112" s="138"/>
      <x:c r="B112" s="138"/>
      <x:c r="C112" s="138"/>
      <x:c r="D112" s="138"/>
      <x:c r="E112" s="138"/>
      <x:c r="F112" s="138"/>
      <x:c r="G112" s="138"/>
      <x:c r="H112" s="138"/>
      <x:c r="I112" s="138"/>
      <x:c r="J112" s="138"/>
      <x:c r="K112" s="138"/>
      <x:c r="L112" s="138"/>
      <x:c r="M112" s="138"/>
      <x:c r="N112" s="138"/>
      <x:c r="O112" s="138"/>
      <x:c r="P112" s="138"/>
      <x:c r="Q112" s="138"/>
      <x:c r="R112" s="138"/>
      <x:c r="S112" s="138"/>
      <x:c r="T112" s="138"/>
      <x:c r="U112" s="138"/>
      <x:c r="V112" s="138"/>
      <x:c r="W112" s="138"/>
      <x:c r="X112" s="138"/>
      <x:c r="Y112" s="138"/>
      <x:c r="Z112" s="138"/>
    </x:row>
    <x:row r="113">
      <x:c r="A113" s="138"/>
      <x:c r="B113" s="138"/>
      <x:c r="C113" s="138"/>
      <x:c r="D113" s="138"/>
      <x:c r="E113" s="138"/>
      <x:c r="F113" s="138"/>
      <x:c r="G113" s="138"/>
      <x:c r="H113" s="138"/>
      <x:c r="I113" s="138"/>
      <x:c r="J113" s="138"/>
      <x:c r="K113" s="138"/>
      <x:c r="L113" s="138"/>
      <x:c r="M113" s="138"/>
      <x:c r="N113" s="138"/>
      <x:c r="O113" s="138"/>
      <x:c r="P113" s="138"/>
      <x:c r="Q113" s="138"/>
      <x:c r="R113" s="138"/>
      <x:c r="S113" s="138"/>
      <x:c r="T113" s="138"/>
      <x:c r="U113" s="138"/>
      <x:c r="V113" s="138"/>
      <x:c r="W113" s="138"/>
      <x:c r="X113" s="138"/>
      <x:c r="Y113" s="138"/>
      <x:c r="Z113" s="138"/>
    </x:row>
    <x:row r="114">
      <x:c r="A114" s="138"/>
      <x:c r="B114" s="138"/>
      <x:c r="C114" s="138"/>
      <x:c r="D114" s="138"/>
      <x:c r="E114" s="138"/>
      <x:c r="F114" s="138"/>
      <x:c r="G114" s="138"/>
      <x:c r="H114" s="138"/>
      <x:c r="I114" s="138"/>
      <x:c r="J114" s="138"/>
      <x:c r="K114" s="138"/>
      <x:c r="L114" s="138"/>
      <x:c r="M114" s="138"/>
      <x:c r="N114" s="138"/>
      <x:c r="O114" s="138"/>
      <x:c r="P114" s="138"/>
      <x:c r="Q114" s="138"/>
      <x:c r="R114" s="138"/>
      <x:c r="S114" s="138"/>
      <x:c r="T114" s="138"/>
      <x:c r="U114" s="138"/>
      <x:c r="V114" s="138"/>
      <x:c r="W114" s="138"/>
      <x:c r="X114" s="138"/>
      <x:c r="Y114" s="138"/>
      <x:c r="Z114" s="138"/>
    </x:row>
    <x:row r="115">
      <x:c r="A115" s="138"/>
      <x:c r="B115" s="138"/>
      <x:c r="C115" s="138"/>
      <x:c r="D115" s="138"/>
      <x:c r="E115" s="138"/>
      <x:c r="F115" s="138"/>
      <x:c r="G115" s="138"/>
      <x:c r="H115" s="138"/>
      <x:c r="I115" s="138"/>
      <x:c r="J115" s="138"/>
      <x:c r="K115" s="138"/>
      <x:c r="L115" s="138"/>
      <x:c r="M115" s="138"/>
      <x:c r="N115" s="138"/>
      <x:c r="O115" s="138"/>
      <x:c r="P115" s="138"/>
      <x:c r="Q115" s="138"/>
      <x:c r="R115" s="138"/>
      <x:c r="S115" s="138"/>
      <x:c r="T115" s="138"/>
      <x:c r="U115" s="138"/>
      <x:c r="V115" s="138"/>
      <x:c r="W115" s="138"/>
      <x:c r="X115" s="138"/>
      <x:c r="Y115" s="138"/>
      <x:c r="Z115" s="138"/>
    </x:row>
    <x:row r="116">
      <x:c r="A116" s="138"/>
      <x:c r="B116" s="138"/>
      <x:c r="C116" s="138"/>
      <x:c r="D116" s="138"/>
      <x:c r="E116" s="138"/>
      <x:c r="F116" s="138"/>
      <x:c r="G116" s="138"/>
      <x:c r="H116" s="138"/>
      <x:c r="I116" s="138"/>
      <x:c r="J116" s="138"/>
      <x:c r="K116" s="138"/>
      <x:c r="L116" s="138"/>
      <x:c r="M116" s="138"/>
      <x:c r="N116" s="138"/>
      <x:c r="O116" s="138"/>
      <x:c r="P116" s="138"/>
      <x:c r="Q116" s="138"/>
      <x:c r="R116" s="138"/>
      <x:c r="S116" s="138"/>
      <x:c r="T116" s="138"/>
      <x:c r="U116" s="138"/>
      <x:c r="V116" s="138"/>
      <x:c r="W116" s="138"/>
      <x:c r="X116" s="138"/>
      <x:c r="Y116" s="138"/>
      <x:c r="Z116" s="138"/>
    </x:row>
    <x:row r="117">
      <x:c r="A117" s="138"/>
      <x:c r="B117" s="138"/>
      <x:c r="C117" s="138"/>
      <x:c r="D117" s="138"/>
      <x:c r="E117" s="138"/>
      <x:c r="F117" s="138"/>
      <x:c r="G117" s="138"/>
      <x:c r="H117" s="138"/>
      <x:c r="I117" s="138"/>
      <x:c r="J117" s="138"/>
      <x:c r="K117" s="138"/>
      <x:c r="L117" s="138"/>
      <x:c r="M117" s="138"/>
      <x:c r="N117" s="138"/>
      <x:c r="O117" s="138"/>
      <x:c r="P117" s="138"/>
      <x:c r="Q117" s="138"/>
      <x:c r="R117" s="138"/>
      <x:c r="S117" s="138"/>
      <x:c r="T117" s="138"/>
      <x:c r="U117" s="138"/>
      <x:c r="V117" s="138"/>
      <x:c r="W117" s="138"/>
      <x:c r="X117" s="138"/>
      <x:c r="Y117" s="138"/>
      <x:c r="Z117" s="138"/>
    </x:row>
    <x:row r="118">
      <x:c r="A118" s="138"/>
      <x:c r="B118" s="138"/>
      <x:c r="C118" s="138"/>
      <x:c r="D118" s="138"/>
      <x:c r="E118" s="138"/>
      <x:c r="F118" s="138"/>
      <x:c r="G118" s="138"/>
      <x:c r="H118" s="138"/>
      <x:c r="I118" s="138"/>
      <x:c r="J118" s="138"/>
      <x:c r="K118" s="138"/>
      <x:c r="L118" s="138"/>
      <x:c r="M118" s="138"/>
      <x:c r="N118" s="138"/>
      <x:c r="O118" s="138"/>
      <x:c r="P118" s="138"/>
      <x:c r="Q118" s="138"/>
      <x:c r="R118" s="138"/>
      <x:c r="S118" s="138"/>
      <x:c r="T118" s="138"/>
      <x:c r="U118" s="138"/>
      <x:c r="V118" s="138"/>
      <x:c r="W118" s="138"/>
      <x:c r="X118" s="138"/>
      <x:c r="Y118" s="138"/>
      <x:c r="Z118" s="138"/>
    </x:row>
    <x:row r="119">
      <x:c r="A119" s="138"/>
      <x:c r="B119" s="138"/>
      <x:c r="C119" s="138"/>
      <x:c r="D119" s="138"/>
      <x:c r="E119" s="138"/>
      <x:c r="F119" s="138"/>
      <x:c r="G119" s="138"/>
      <x:c r="H119" s="138"/>
      <x:c r="I119" s="138"/>
      <x:c r="J119" s="138"/>
      <x:c r="K119" s="138"/>
      <x:c r="L119" s="138"/>
      <x:c r="M119" s="138"/>
      <x:c r="N119" s="138"/>
      <x:c r="O119" s="138"/>
      <x:c r="P119" s="138"/>
      <x:c r="Q119" s="138"/>
      <x:c r="R119" s="138"/>
      <x:c r="S119" s="138"/>
      <x:c r="T119" s="138"/>
      <x:c r="U119" s="138"/>
      <x:c r="V119" s="138"/>
      <x:c r="W119" s="138"/>
      <x:c r="X119" s="138"/>
      <x:c r="Y119" s="138"/>
      <x:c r="Z119" s="138"/>
    </x:row>
    <x:row r="120">
      <x:c r="A120" s="138"/>
      <x:c r="B120" s="138"/>
      <x:c r="C120" s="138"/>
      <x:c r="D120" s="138"/>
      <x:c r="E120" s="138"/>
      <x:c r="F120" s="138"/>
      <x:c r="G120" s="138"/>
      <x:c r="H120" s="138"/>
      <x:c r="I120" s="138"/>
      <x:c r="J120" s="138"/>
      <x:c r="K120" s="138"/>
      <x:c r="L120" s="138"/>
      <x:c r="M120" s="138"/>
      <x:c r="N120" s="138"/>
      <x:c r="O120" s="138"/>
      <x:c r="P120" s="138"/>
      <x:c r="Q120" s="138"/>
      <x:c r="R120" s="138"/>
      <x:c r="S120" s="138"/>
      <x:c r="T120" s="138"/>
      <x:c r="U120" s="138"/>
      <x:c r="V120" s="138"/>
      <x:c r="W120" s="138"/>
      <x:c r="X120" s="138"/>
      <x:c r="Y120" s="138"/>
      <x:c r="Z120" s="138"/>
    </x:row>
    <x:row r="121">
      <x:c r="A121" s="138"/>
      <x:c r="B121" s="138"/>
      <x:c r="C121" s="138"/>
      <x:c r="D121" s="138"/>
      <x:c r="E121" s="138"/>
      <x:c r="F121" s="138"/>
      <x:c r="G121" s="138"/>
      <x:c r="H121" s="138"/>
      <x:c r="I121" s="138"/>
      <x:c r="J121" s="138"/>
      <x:c r="K121" s="138"/>
      <x:c r="L121" s="138"/>
      <x:c r="M121" s="138"/>
      <x:c r="N121" s="138"/>
      <x:c r="O121" s="138"/>
      <x:c r="P121" s="138"/>
      <x:c r="Q121" s="138"/>
      <x:c r="R121" s="138"/>
      <x:c r="S121" s="138"/>
      <x:c r="T121" s="138"/>
      <x:c r="U121" s="138"/>
      <x:c r="V121" s="138"/>
      <x:c r="W121" s="138"/>
      <x:c r="X121" s="138"/>
      <x:c r="Y121" s="138"/>
      <x:c r="Z121" s="138"/>
    </x:row>
    <x:row r="122">
      <x:c r="A122" s="138"/>
      <x:c r="B122" s="138"/>
      <x:c r="C122" s="138"/>
      <x:c r="D122" s="138"/>
      <x:c r="E122" s="138"/>
      <x:c r="F122" s="138"/>
      <x:c r="G122" s="138"/>
      <x:c r="H122" s="138"/>
      <x:c r="I122" s="138"/>
      <x:c r="J122" s="138"/>
      <x:c r="K122" s="138"/>
      <x:c r="L122" s="138"/>
      <x:c r="M122" s="138"/>
      <x:c r="N122" s="138"/>
      <x:c r="O122" s="138"/>
      <x:c r="P122" s="138"/>
      <x:c r="Q122" s="138"/>
      <x:c r="R122" s="138"/>
      <x:c r="S122" s="138"/>
      <x:c r="T122" s="138"/>
      <x:c r="U122" s="138"/>
      <x:c r="V122" s="138"/>
      <x:c r="W122" s="138"/>
      <x:c r="X122" s="138"/>
      <x:c r="Y122" s="138"/>
      <x:c r="Z122" s="138"/>
    </x:row>
    <x:row r="123">
      <x:c r="A123" s="138"/>
      <x:c r="B123" s="138"/>
      <x:c r="C123" s="138"/>
      <x:c r="D123" s="138"/>
      <x:c r="E123" s="138"/>
      <x:c r="F123" s="138"/>
      <x:c r="G123" s="138"/>
      <x:c r="H123" s="138"/>
      <x:c r="I123" s="138"/>
      <x:c r="J123" s="138"/>
      <x:c r="K123" s="138"/>
      <x:c r="L123" s="138"/>
      <x:c r="M123" s="138"/>
      <x:c r="N123" s="138"/>
      <x:c r="O123" s="138"/>
      <x:c r="P123" s="138"/>
      <x:c r="Q123" s="138"/>
      <x:c r="R123" s="138"/>
      <x:c r="S123" s="138"/>
      <x:c r="T123" s="138"/>
      <x:c r="U123" s="138"/>
      <x:c r="V123" s="138"/>
      <x:c r="W123" s="138"/>
      <x:c r="X123" s="138"/>
      <x:c r="Y123" s="138"/>
      <x:c r="Z123" s="138"/>
    </x:row>
    <x:row r="124">
      <x:c r="A124" s="138"/>
      <x:c r="B124" s="138"/>
      <x:c r="C124" s="138"/>
      <x:c r="D124" s="138"/>
      <x:c r="E124" s="138"/>
      <x:c r="F124" s="138"/>
      <x:c r="G124" s="138"/>
      <x:c r="H124" s="138"/>
      <x:c r="I124" s="138"/>
      <x:c r="J124" s="138"/>
      <x:c r="K124" s="138"/>
      <x:c r="L124" s="138"/>
      <x:c r="M124" s="138"/>
      <x:c r="N124" s="138"/>
      <x:c r="O124" s="138"/>
      <x:c r="P124" s="138"/>
      <x:c r="Q124" s="138"/>
      <x:c r="R124" s="138"/>
      <x:c r="S124" s="138"/>
      <x:c r="T124" s="138"/>
      <x:c r="U124" s="138"/>
      <x:c r="V124" s="138"/>
      <x:c r="W124" s="138"/>
      <x:c r="X124" s="138"/>
      <x:c r="Y124" s="138"/>
      <x:c r="Z124" s="138"/>
    </x:row>
    <x:row r="125">
      <x:c r="A125" s="138"/>
      <x:c r="B125" s="138"/>
      <x:c r="C125" s="138"/>
      <x:c r="D125" s="138"/>
      <x:c r="E125" s="138"/>
      <x:c r="F125" s="138"/>
      <x:c r="G125" s="138"/>
      <x:c r="H125" s="138"/>
      <x:c r="I125" s="138"/>
      <x:c r="J125" s="138"/>
      <x:c r="K125" s="138"/>
      <x:c r="L125" s="138"/>
      <x:c r="M125" s="138"/>
      <x:c r="N125" s="138"/>
      <x:c r="O125" s="138"/>
      <x:c r="P125" s="138"/>
      <x:c r="Q125" s="138"/>
      <x:c r="R125" s="138"/>
      <x:c r="S125" s="138"/>
      <x:c r="T125" s="138"/>
      <x:c r="U125" s="138"/>
      <x:c r="V125" s="138"/>
      <x:c r="W125" s="138"/>
      <x:c r="X125" s="138"/>
      <x:c r="Y125" s="138"/>
      <x:c r="Z125" s="138"/>
    </x:row>
    <x:row r="126">
      <x:c r="A126" s="138"/>
      <x:c r="B126" s="138"/>
      <x:c r="C126" s="138"/>
      <x:c r="D126" s="138"/>
      <x:c r="E126" s="138"/>
      <x:c r="F126" s="138"/>
      <x:c r="G126" s="138"/>
      <x:c r="H126" s="138"/>
      <x:c r="I126" s="138"/>
      <x:c r="J126" s="138"/>
      <x:c r="K126" s="138"/>
      <x:c r="L126" s="138"/>
      <x:c r="M126" s="138"/>
      <x:c r="N126" s="138"/>
      <x:c r="O126" s="138"/>
      <x:c r="P126" s="138"/>
      <x:c r="Q126" s="138"/>
      <x:c r="R126" s="138"/>
      <x:c r="S126" s="138"/>
      <x:c r="T126" s="138"/>
      <x:c r="U126" s="138"/>
      <x:c r="V126" s="138"/>
      <x:c r="W126" s="138"/>
      <x:c r="X126" s="138"/>
      <x:c r="Y126" s="138"/>
      <x:c r="Z126" s="138"/>
    </x:row>
    <x:row r="127">
      <x:c r="A127" s="138"/>
      <x:c r="B127" s="138"/>
      <x:c r="C127" s="138"/>
      <x:c r="D127" s="138"/>
      <x:c r="E127" s="138"/>
      <x:c r="F127" s="138"/>
      <x:c r="G127" s="138"/>
      <x:c r="H127" s="138"/>
      <x:c r="I127" s="138"/>
      <x:c r="J127" s="138"/>
      <x:c r="K127" s="138"/>
      <x:c r="L127" s="138"/>
      <x:c r="M127" s="138"/>
      <x:c r="N127" s="138"/>
      <x:c r="O127" s="138"/>
      <x:c r="P127" s="138"/>
      <x:c r="Q127" s="138"/>
      <x:c r="R127" s="138"/>
      <x:c r="S127" s="138"/>
      <x:c r="T127" s="138"/>
      <x:c r="U127" s="138"/>
      <x:c r="V127" s="138"/>
      <x:c r="W127" s="138"/>
      <x:c r="X127" s="138"/>
      <x:c r="Y127" s="138"/>
      <x:c r="Z127" s="138"/>
    </x:row>
    <x:row r="128">
      <x:c r="A128" s="138"/>
      <x:c r="B128" s="138"/>
      <x:c r="C128" s="138"/>
      <x:c r="D128" s="138"/>
      <x:c r="E128" s="138"/>
      <x:c r="F128" s="138"/>
      <x:c r="G128" s="138"/>
      <x:c r="H128" s="138"/>
      <x:c r="I128" s="138"/>
      <x:c r="J128" s="138"/>
      <x:c r="K128" s="138"/>
      <x:c r="L128" s="138"/>
      <x:c r="M128" s="138"/>
      <x:c r="N128" s="138"/>
      <x:c r="O128" s="138"/>
      <x:c r="P128" s="138"/>
      <x:c r="Q128" s="138"/>
      <x:c r="R128" s="138"/>
      <x:c r="S128" s="138"/>
      <x:c r="T128" s="138"/>
      <x:c r="U128" s="138"/>
      <x:c r="V128" s="138"/>
      <x:c r="W128" s="138"/>
      <x:c r="X128" s="138"/>
      <x:c r="Y128" s="138"/>
      <x:c r="Z128" s="138"/>
    </x:row>
    <x:row r="129">
      <x:c r="A129" s="138"/>
      <x:c r="B129" s="138"/>
      <x:c r="C129" s="138"/>
      <x:c r="D129" s="138"/>
      <x:c r="E129" s="138"/>
      <x:c r="F129" s="138"/>
      <x:c r="G129" s="138"/>
      <x:c r="H129" s="138"/>
      <x:c r="I129" s="138"/>
      <x:c r="J129" s="138"/>
      <x:c r="K129" s="138"/>
      <x:c r="L129" s="138"/>
      <x:c r="M129" s="138"/>
      <x:c r="N129" s="138"/>
      <x:c r="O129" s="138"/>
      <x:c r="P129" s="138"/>
      <x:c r="Q129" s="138"/>
      <x:c r="R129" s="138"/>
      <x:c r="S129" s="138"/>
      <x:c r="T129" s="138"/>
      <x:c r="U129" s="138"/>
      <x:c r="V129" s="138"/>
      <x:c r="W129" s="138"/>
      <x:c r="X129" s="138"/>
      <x:c r="Y129" s="138"/>
      <x:c r="Z129" s="138"/>
    </x:row>
    <x:row r="130">
      <x:c r="A130" s="138"/>
      <x:c r="B130" s="138"/>
      <x:c r="C130" s="138"/>
      <x:c r="D130" s="138"/>
      <x:c r="E130" s="138"/>
      <x:c r="F130" s="138"/>
      <x:c r="G130" s="138"/>
      <x:c r="H130" s="138"/>
      <x:c r="I130" s="138"/>
      <x:c r="J130" s="138"/>
      <x:c r="K130" s="138"/>
      <x:c r="L130" s="138"/>
      <x:c r="M130" s="138"/>
      <x:c r="N130" s="138"/>
      <x:c r="O130" s="138"/>
      <x:c r="P130" s="138"/>
      <x:c r="Q130" s="138"/>
      <x:c r="R130" s="138"/>
      <x:c r="S130" s="138"/>
      <x:c r="T130" s="138"/>
      <x:c r="U130" s="138"/>
      <x:c r="V130" s="138"/>
      <x:c r="W130" s="138"/>
      <x:c r="X130" s="138"/>
      <x:c r="Y130" s="138"/>
      <x:c r="Z130" s="138"/>
    </x:row>
    <x:row r="131">
      <x:c r="A131" s="138"/>
      <x:c r="B131" s="138"/>
      <x:c r="C131" s="138"/>
      <x:c r="D131" s="138"/>
      <x:c r="E131" s="138"/>
      <x:c r="F131" s="138"/>
      <x:c r="G131" s="138"/>
      <x:c r="H131" s="138"/>
      <x:c r="I131" s="138"/>
      <x:c r="J131" s="138"/>
      <x:c r="K131" s="138"/>
      <x:c r="L131" s="138"/>
      <x:c r="M131" s="138"/>
      <x:c r="N131" s="138"/>
      <x:c r="O131" s="138"/>
      <x:c r="P131" s="138"/>
      <x:c r="Q131" s="138"/>
      <x:c r="R131" s="138"/>
      <x:c r="S131" s="138"/>
      <x:c r="T131" s="138"/>
      <x:c r="U131" s="138"/>
      <x:c r="V131" s="138"/>
      <x:c r="W131" s="138"/>
      <x:c r="X131" s="138"/>
      <x:c r="Y131" s="138"/>
      <x:c r="Z131" s="138"/>
    </x:row>
    <x:row r="132">
      <x:c r="A132" s="138"/>
      <x:c r="B132" s="138"/>
      <x:c r="C132" s="138"/>
      <x:c r="D132" s="138"/>
      <x:c r="E132" s="138"/>
      <x:c r="F132" s="138"/>
      <x:c r="G132" s="138"/>
      <x:c r="H132" s="138"/>
      <x:c r="I132" s="138"/>
      <x:c r="J132" s="138"/>
      <x:c r="K132" s="138"/>
      <x:c r="L132" s="138"/>
      <x:c r="M132" s="138"/>
      <x:c r="N132" s="138"/>
      <x:c r="O132" s="138"/>
      <x:c r="P132" s="138"/>
      <x:c r="Q132" s="138"/>
      <x:c r="R132" s="138"/>
      <x:c r="S132" s="138"/>
      <x:c r="T132" s="138"/>
      <x:c r="U132" s="138"/>
      <x:c r="V132" s="138"/>
      <x:c r="W132" s="138"/>
      <x:c r="X132" s="138"/>
      <x:c r="Y132" s="138"/>
      <x:c r="Z132" s="138"/>
    </x:row>
    <x:row r="133">
      <x:c r="A133" s="138"/>
      <x:c r="B133" s="138"/>
      <x:c r="C133" s="138"/>
      <x:c r="D133" s="138"/>
      <x:c r="E133" s="138"/>
      <x:c r="F133" s="138"/>
      <x:c r="G133" s="138"/>
      <x:c r="H133" s="138"/>
      <x:c r="I133" s="138"/>
      <x:c r="J133" s="138"/>
      <x:c r="K133" s="138"/>
      <x:c r="L133" s="138"/>
      <x:c r="M133" s="138"/>
      <x:c r="N133" s="138"/>
      <x:c r="O133" s="138"/>
      <x:c r="P133" s="138"/>
      <x:c r="Q133" s="138"/>
      <x:c r="R133" s="138"/>
      <x:c r="S133" s="138"/>
      <x:c r="T133" s="138"/>
      <x:c r="U133" s="138"/>
      <x:c r="V133" s="138"/>
      <x:c r="W133" s="138"/>
      <x:c r="X133" s="138"/>
      <x:c r="Y133" s="138"/>
      <x:c r="Z133" s="138"/>
    </x:row>
    <x:row r="134">
      <x:c r="A134" s="138"/>
      <x:c r="B134" s="138"/>
      <x:c r="C134" s="138"/>
      <x:c r="D134" s="138"/>
      <x:c r="E134" s="138"/>
      <x:c r="F134" s="138"/>
      <x:c r="G134" s="138"/>
      <x:c r="H134" s="138"/>
      <x:c r="I134" s="138"/>
      <x:c r="J134" s="138"/>
      <x:c r="K134" s="138"/>
      <x:c r="L134" s="138"/>
      <x:c r="M134" s="138"/>
      <x:c r="N134" s="138"/>
      <x:c r="O134" s="138"/>
      <x:c r="P134" s="138"/>
      <x:c r="Q134" s="138"/>
      <x:c r="R134" s="138"/>
      <x:c r="S134" s="138"/>
      <x:c r="T134" s="138"/>
      <x:c r="U134" s="138"/>
      <x:c r="V134" s="138"/>
      <x:c r="W134" s="138"/>
      <x:c r="X134" s="138"/>
      <x:c r="Y134" s="138"/>
      <x:c r="Z134" s="138"/>
    </x:row>
    <x:row r="135">
      <x:c r="A135" s="138"/>
      <x:c r="B135" s="138"/>
      <x:c r="C135" s="138"/>
      <x:c r="D135" s="138"/>
      <x:c r="E135" s="138"/>
      <x:c r="F135" s="138"/>
      <x:c r="G135" s="138"/>
      <x:c r="H135" s="138"/>
      <x:c r="I135" s="138"/>
      <x:c r="J135" s="138"/>
      <x:c r="K135" s="138"/>
      <x:c r="L135" s="138"/>
      <x:c r="M135" s="138"/>
      <x:c r="N135" s="138"/>
      <x:c r="O135" s="138"/>
      <x:c r="P135" s="138"/>
      <x:c r="Q135" s="138"/>
      <x:c r="R135" s="138"/>
      <x:c r="S135" s="138"/>
      <x:c r="T135" s="138"/>
      <x:c r="U135" s="138"/>
      <x:c r="V135" s="138"/>
      <x:c r="W135" s="138"/>
      <x:c r="X135" s="138"/>
      <x:c r="Y135" s="138"/>
      <x:c r="Z135" s="138"/>
    </x:row>
    <x:row r="136">
      <x:c r="A136" s="138"/>
      <x:c r="B136" s="138"/>
      <x:c r="C136" s="138"/>
      <x:c r="D136" s="138"/>
      <x:c r="E136" s="138"/>
      <x:c r="F136" s="138"/>
      <x:c r="G136" s="138"/>
      <x:c r="H136" s="138"/>
      <x:c r="I136" s="138"/>
      <x:c r="J136" s="138"/>
      <x:c r="K136" s="138"/>
      <x:c r="L136" s="138"/>
      <x:c r="M136" s="138"/>
      <x:c r="N136" s="138"/>
      <x:c r="O136" s="138"/>
      <x:c r="P136" s="138"/>
      <x:c r="Q136" s="138"/>
      <x:c r="R136" s="138"/>
      <x:c r="S136" s="138"/>
      <x:c r="T136" s="138"/>
      <x:c r="U136" s="138"/>
      <x:c r="V136" s="138"/>
      <x:c r="W136" s="138"/>
      <x:c r="X136" s="138"/>
      <x:c r="Y136" s="138"/>
      <x:c r="Z136" s="138"/>
    </x:row>
    <x:row r="137">
      <x:c r="A137" s="138"/>
      <x:c r="B137" s="138"/>
      <x:c r="C137" s="138"/>
      <x:c r="D137" s="138"/>
      <x:c r="E137" s="138"/>
      <x:c r="F137" s="138"/>
      <x:c r="G137" s="138"/>
      <x:c r="H137" s="138"/>
      <x:c r="I137" s="138"/>
      <x:c r="J137" s="138"/>
      <x:c r="K137" s="138"/>
      <x:c r="L137" s="138"/>
      <x:c r="M137" s="138"/>
      <x:c r="N137" s="138"/>
      <x:c r="O137" s="138"/>
      <x:c r="P137" s="138"/>
      <x:c r="Q137" s="138"/>
      <x:c r="R137" s="138"/>
      <x:c r="S137" s="138"/>
      <x:c r="T137" s="138"/>
      <x:c r="U137" s="138"/>
      <x:c r="V137" s="138"/>
      <x:c r="W137" s="138"/>
      <x:c r="X137" s="138"/>
      <x:c r="Y137" s="138"/>
      <x:c r="Z137" s="138"/>
    </x:row>
    <x:row r="138">
      <x:c r="A138" s="138"/>
      <x:c r="B138" s="138"/>
      <x:c r="C138" s="138"/>
      <x:c r="D138" s="138"/>
      <x:c r="E138" s="138"/>
      <x:c r="F138" s="138"/>
      <x:c r="G138" s="138"/>
      <x:c r="H138" s="138"/>
      <x:c r="I138" s="138"/>
      <x:c r="J138" s="138"/>
      <x:c r="K138" s="138"/>
      <x:c r="L138" s="138"/>
      <x:c r="M138" s="138"/>
      <x:c r="N138" s="138"/>
      <x:c r="O138" s="138"/>
      <x:c r="P138" s="138"/>
      <x:c r="Q138" s="138"/>
      <x:c r="R138" s="138"/>
      <x:c r="S138" s="138"/>
      <x:c r="T138" s="138"/>
      <x:c r="U138" s="138"/>
      <x:c r="V138" s="138"/>
      <x:c r="W138" s="138"/>
      <x:c r="X138" s="138"/>
      <x:c r="Y138" s="138"/>
      <x:c r="Z138" s="138"/>
    </x:row>
    <x:row r="139">
      <x:c r="A139" s="138"/>
      <x:c r="B139" s="138"/>
      <x:c r="C139" s="138"/>
      <x:c r="D139" s="138"/>
      <x:c r="E139" s="138"/>
      <x:c r="F139" s="138"/>
      <x:c r="G139" s="138"/>
      <x:c r="H139" s="138"/>
      <x:c r="I139" s="138"/>
      <x:c r="J139" s="138"/>
      <x:c r="K139" s="138"/>
      <x:c r="L139" s="138"/>
      <x:c r="M139" s="138"/>
      <x:c r="N139" s="138"/>
      <x:c r="O139" s="138"/>
      <x:c r="P139" s="138"/>
      <x:c r="Q139" s="138"/>
      <x:c r="R139" s="138"/>
      <x:c r="S139" s="138"/>
      <x:c r="T139" s="138"/>
      <x:c r="U139" s="138"/>
      <x:c r="V139" s="138"/>
      <x:c r="W139" s="138"/>
      <x:c r="X139" s="138"/>
      <x:c r="Y139" s="138"/>
      <x:c r="Z139" s="138"/>
    </x:row>
    <x:row r="140">
      <x:c r="A140" s="138"/>
      <x:c r="B140" s="138"/>
      <x:c r="C140" s="138"/>
      <x:c r="D140" s="138"/>
      <x:c r="E140" s="138"/>
      <x:c r="F140" s="138"/>
      <x:c r="G140" s="138"/>
      <x:c r="H140" s="138"/>
      <x:c r="I140" s="138"/>
      <x:c r="J140" s="138"/>
      <x:c r="K140" s="138"/>
      <x:c r="L140" s="138"/>
      <x:c r="M140" s="138"/>
      <x:c r="N140" s="138"/>
      <x:c r="O140" s="138"/>
      <x:c r="P140" s="138"/>
      <x:c r="Q140" s="138"/>
      <x:c r="R140" s="138"/>
      <x:c r="S140" s="138"/>
      <x:c r="T140" s="138"/>
      <x:c r="U140" s="138"/>
      <x:c r="V140" s="138"/>
      <x:c r="W140" s="138"/>
      <x:c r="X140" s="138"/>
      <x:c r="Y140" s="138"/>
      <x:c r="Z140" s="138"/>
    </x:row>
    <x:row r="141">
      <x:c r="A141" s="138"/>
      <x:c r="B141" s="138"/>
      <x:c r="C141" s="138"/>
      <x:c r="D141" s="138"/>
      <x:c r="E141" s="138"/>
      <x:c r="F141" s="138"/>
      <x:c r="G141" s="138"/>
      <x:c r="H141" s="138"/>
      <x:c r="I141" s="138"/>
      <x:c r="J141" s="138"/>
      <x:c r="K141" s="138"/>
      <x:c r="L141" s="138"/>
      <x:c r="M141" s="138"/>
      <x:c r="N141" s="138"/>
      <x:c r="O141" s="138"/>
      <x:c r="P141" s="138"/>
      <x:c r="Q141" s="138"/>
      <x:c r="R141" s="138"/>
      <x:c r="S141" s="138"/>
      <x:c r="T141" s="138"/>
      <x:c r="U141" s="138"/>
      <x:c r="V141" s="138"/>
      <x:c r="W141" s="138"/>
      <x:c r="X141" s="138"/>
      <x:c r="Y141" s="138"/>
      <x:c r="Z141" s="138"/>
    </x:row>
    <x:row r="142">
      <x:c r="A142" s="138"/>
      <x:c r="B142" s="138"/>
      <x:c r="C142" s="138"/>
      <x:c r="D142" s="138"/>
      <x:c r="E142" s="138"/>
      <x:c r="F142" s="138"/>
      <x:c r="G142" s="138"/>
      <x:c r="H142" s="138"/>
      <x:c r="I142" s="138"/>
      <x:c r="J142" s="138"/>
      <x:c r="K142" s="138"/>
      <x:c r="L142" s="138"/>
      <x:c r="M142" s="138"/>
      <x:c r="N142" s="138"/>
      <x:c r="O142" s="138"/>
      <x:c r="P142" s="138"/>
      <x:c r="Q142" s="138"/>
      <x:c r="R142" s="138"/>
      <x:c r="S142" s="138"/>
      <x:c r="T142" s="138"/>
      <x:c r="U142" s="138"/>
      <x:c r="V142" s="138"/>
      <x:c r="W142" s="138"/>
      <x:c r="X142" s="138"/>
      <x:c r="Y142" s="138"/>
      <x:c r="Z142" s="138"/>
    </x:row>
    <x:row r="143">
      <x:c r="A143" s="138"/>
      <x:c r="B143" s="138"/>
      <x:c r="C143" s="138"/>
      <x:c r="D143" s="138"/>
      <x:c r="E143" s="138"/>
      <x:c r="F143" s="138"/>
      <x:c r="G143" s="138"/>
      <x:c r="H143" s="138"/>
      <x:c r="I143" s="138"/>
      <x:c r="J143" s="138"/>
      <x:c r="K143" s="138"/>
      <x:c r="L143" s="138"/>
      <x:c r="M143" s="138"/>
      <x:c r="N143" s="138"/>
      <x:c r="O143" s="138"/>
      <x:c r="P143" s="138"/>
      <x:c r="Q143" s="138"/>
      <x:c r="R143" s="138"/>
      <x:c r="S143" s="138"/>
      <x:c r="T143" s="138"/>
      <x:c r="U143" s="138"/>
      <x:c r="V143" s="138"/>
      <x:c r="W143" s="138"/>
      <x:c r="X143" s="138"/>
      <x:c r="Y143" s="138"/>
      <x:c r="Z143" s="138"/>
    </x:row>
    <x:row r="144">
      <x:c r="A144" s="138"/>
      <x:c r="B144" s="138"/>
      <x:c r="C144" s="138"/>
      <x:c r="D144" s="138"/>
      <x:c r="E144" s="138"/>
      <x:c r="F144" s="138"/>
      <x:c r="G144" s="138"/>
      <x:c r="H144" s="138"/>
      <x:c r="I144" s="138"/>
      <x:c r="J144" s="138"/>
      <x:c r="K144" s="138"/>
      <x:c r="L144" s="138"/>
      <x:c r="M144" s="138"/>
      <x:c r="N144" s="138"/>
      <x:c r="O144" s="138"/>
      <x:c r="P144" s="138"/>
      <x:c r="Q144" s="138"/>
      <x:c r="R144" s="138"/>
      <x:c r="S144" s="138"/>
      <x:c r="T144" s="138"/>
      <x:c r="U144" s="138"/>
      <x:c r="V144" s="138"/>
      <x:c r="W144" s="138"/>
      <x:c r="X144" s="138"/>
      <x:c r="Y144" s="138"/>
      <x:c r="Z144" s="138"/>
    </x:row>
    <x:row r="145">
      <x:c r="A145" s="138"/>
      <x:c r="B145" s="138"/>
      <x:c r="C145" s="138"/>
      <x:c r="D145" s="138"/>
      <x:c r="E145" s="138"/>
      <x:c r="F145" s="138"/>
      <x:c r="G145" s="138"/>
      <x:c r="H145" s="138"/>
      <x:c r="I145" s="138"/>
      <x:c r="J145" s="138"/>
      <x:c r="K145" s="138"/>
      <x:c r="L145" s="138"/>
      <x:c r="M145" s="138"/>
      <x:c r="N145" s="138"/>
      <x:c r="O145" s="138"/>
      <x:c r="P145" s="138"/>
      <x:c r="Q145" s="138"/>
      <x:c r="R145" s="138"/>
      <x:c r="S145" s="138"/>
      <x:c r="T145" s="138"/>
      <x:c r="U145" s="138"/>
      <x:c r="V145" s="138"/>
      <x:c r="W145" s="138"/>
      <x:c r="X145" s="138"/>
      <x:c r="Y145" s="138"/>
      <x:c r="Z145" s="138"/>
    </x:row>
    <x:row r="146">
      <x:c r="A146" s="138"/>
      <x:c r="B146" s="138"/>
      <x:c r="C146" s="138"/>
      <x:c r="D146" s="138"/>
      <x:c r="E146" s="138"/>
      <x:c r="F146" s="138"/>
      <x:c r="G146" s="138"/>
      <x:c r="H146" s="138"/>
      <x:c r="I146" s="138"/>
      <x:c r="J146" s="138"/>
      <x:c r="K146" s="138"/>
      <x:c r="L146" s="138"/>
      <x:c r="M146" s="138"/>
      <x:c r="N146" s="138"/>
      <x:c r="O146" s="138"/>
      <x:c r="P146" s="138"/>
      <x:c r="Q146" s="138"/>
      <x:c r="R146" s="138"/>
      <x:c r="S146" s="138"/>
      <x:c r="T146" s="138"/>
      <x:c r="U146" s="138"/>
      <x:c r="V146" s="138"/>
      <x:c r="W146" s="138"/>
      <x:c r="X146" s="138"/>
      <x:c r="Y146" s="138"/>
      <x:c r="Z146" s="138"/>
    </x:row>
    <x:row r="147">
      <x:c r="A147" s="138"/>
      <x:c r="B147" s="138"/>
      <x:c r="C147" s="138"/>
      <x:c r="D147" s="138"/>
      <x:c r="E147" s="138"/>
      <x:c r="F147" s="138"/>
      <x:c r="G147" s="138"/>
      <x:c r="H147" s="138"/>
      <x:c r="I147" s="138"/>
      <x:c r="J147" s="138"/>
      <x:c r="K147" s="138"/>
      <x:c r="L147" s="138"/>
      <x:c r="M147" s="138"/>
      <x:c r="N147" s="138"/>
      <x:c r="O147" s="138"/>
      <x:c r="P147" s="138"/>
      <x:c r="Q147" s="138"/>
      <x:c r="R147" s="138"/>
      <x:c r="S147" s="138"/>
      <x:c r="T147" s="138"/>
      <x:c r="U147" s="138"/>
      <x:c r="V147" s="138"/>
      <x:c r="W147" s="138"/>
      <x:c r="X147" s="138"/>
      <x:c r="Y147" s="138"/>
      <x:c r="Z147" s="138"/>
    </x:row>
    <x:row r="148">
      <x:c r="A148" s="138"/>
      <x:c r="B148" s="138"/>
      <x:c r="C148" s="138"/>
      <x:c r="D148" s="138"/>
      <x:c r="E148" s="138"/>
      <x:c r="F148" s="138"/>
      <x:c r="G148" s="138"/>
      <x:c r="H148" s="138"/>
      <x:c r="I148" s="138"/>
      <x:c r="J148" s="138"/>
      <x:c r="K148" s="138"/>
      <x:c r="L148" s="138"/>
      <x:c r="M148" s="138"/>
      <x:c r="N148" s="138"/>
      <x:c r="O148" s="138"/>
      <x:c r="P148" s="138"/>
      <x:c r="Q148" s="138"/>
      <x:c r="R148" s="138"/>
      <x:c r="S148" s="138"/>
      <x:c r="T148" s="138"/>
      <x:c r="U148" s="138"/>
      <x:c r="V148" s="138"/>
      <x:c r="W148" s="138"/>
      <x:c r="X148" s="138"/>
      <x:c r="Y148" s="138"/>
      <x:c r="Z148" s="138"/>
    </x:row>
    <x:row r="149">
      <x:c r="A149" s="138"/>
      <x:c r="B149" s="138"/>
      <x:c r="C149" s="138"/>
      <x:c r="D149" s="138"/>
      <x:c r="E149" s="138"/>
      <x:c r="F149" s="138"/>
      <x:c r="G149" s="138"/>
      <x:c r="H149" s="138"/>
      <x:c r="I149" s="138"/>
      <x:c r="J149" s="138"/>
      <x:c r="K149" s="138"/>
      <x:c r="L149" s="138"/>
      <x:c r="M149" s="138"/>
      <x:c r="N149" s="138"/>
      <x:c r="O149" s="138"/>
      <x:c r="P149" s="138"/>
      <x:c r="Q149" s="138"/>
      <x:c r="R149" s="138"/>
      <x:c r="S149" s="138"/>
      <x:c r="T149" s="138"/>
      <x:c r="U149" s="138"/>
      <x:c r="V149" s="138"/>
      <x:c r="W149" s="138"/>
      <x:c r="X149" s="138"/>
      <x:c r="Y149" s="138"/>
      <x:c r="Z149" s="138"/>
    </x:row>
    <x:row r="150">
      <x:c r="A150" s="138"/>
      <x:c r="B150" s="138"/>
      <x:c r="C150" s="138"/>
      <x:c r="D150" s="138"/>
      <x:c r="E150" s="138"/>
      <x:c r="F150" s="138"/>
      <x:c r="G150" s="138"/>
      <x:c r="H150" s="138"/>
      <x:c r="I150" s="138"/>
      <x:c r="J150" s="138"/>
      <x:c r="K150" s="138"/>
      <x:c r="L150" s="138"/>
      <x:c r="M150" s="138"/>
      <x:c r="N150" s="138"/>
      <x:c r="O150" s="138"/>
      <x:c r="P150" s="138"/>
      <x:c r="Q150" s="138"/>
      <x:c r="R150" s="138"/>
      <x:c r="S150" s="138"/>
      <x:c r="T150" s="138"/>
      <x:c r="U150" s="138"/>
      <x:c r="V150" s="138"/>
      <x:c r="W150" s="138"/>
      <x:c r="X150" s="138"/>
      <x:c r="Y150" s="138"/>
      <x:c r="Z150" s="138"/>
    </x:row>
    <x:row r="151">
      <x:c r="A151" s="138"/>
      <x:c r="B151" s="138"/>
      <x:c r="C151" s="138"/>
      <x:c r="D151" s="138"/>
      <x:c r="E151" s="138"/>
      <x:c r="F151" s="138"/>
      <x:c r="G151" s="138"/>
      <x:c r="H151" s="138"/>
      <x:c r="I151" s="138"/>
      <x:c r="J151" s="138"/>
      <x:c r="K151" s="138"/>
      <x:c r="L151" s="138"/>
      <x:c r="M151" s="138"/>
      <x:c r="N151" s="138"/>
      <x:c r="O151" s="138"/>
      <x:c r="P151" s="138"/>
      <x:c r="Q151" s="138"/>
      <x:c r="R151" s="138"/>
      <x:c r="S151" s="138"/>
      <x:c r="T151" s="138"/>
      <x:c r="U151" s="138"/>
      <x:c r="V151" s="138"/>
      <x:c r="W151" s="138"/>
      <x:c r="X151" s="138"/>
      <x:c r="Y151" s="138"/>
      <x:c r="Z151" s="138"/>
    </x:row>
    <x:row r="152">
      <x:c r="A152" s="138"/>
      <x:c r="B152" s="138"/>
      <x:c r="C152" s="138"/>
      <x:c r="D152" s="138"/>
      <x:c r="E152" s="138"/>
      <x:c r="F152" s="138"/>
      <x:c r="G152" s="138"/>
      <x:c r="H152" s="138"/>
      <x:c r="I152" s="138"/>
      <x:c r="J152" s="138"/>
      <x:c r="K152" s="138"/>
      <x:c r="L152" s="138"/>
      <x:c r="M152" s="138"/>
      <x:c r="N152" s="138"/>
      <x:c r="O152" s="138"/>
      <x:c r="P152" s="138"/>
      <x:c r="Q152" s="138"/>
      <x:c r="R152" s="138"/>
      <x:c r="S152" s="138"/>
      <x:c r="T152" s="138"/>
      <x:c r="U152" s="138"/>
      <x:c r="V152" s="138"/>
      <x:c r="W152" s="138"/>
      <x:c r="X152" s="138"/>
      <x:c r="Y152" s="138"/>
      <x:c r="Z152" s="138"/>
    </x:row>
    <x:row r="153">
      <x:c r="A153" s="138"/>
      <x:c r="B153" s="138"/>
      <x:c r="C153" s="138"/>
      <x:c r="D153" s="138"/>
      <x:c r="E153" s="138"/>
      <x:c r="F153" s="138"/>
      <x:c r="G153" s="138"/>
      <x:c r="H153" s="138"/>
      <x:c r="I153" s="138"/>
      <x:c r="J153" s="138"/>
      <x:c r="K153" s="138"/>
      <x:c r="L153" s="138"/>
      <x:c r="M153" s="138"/>
      <x:c r="N153" s="138"/>
      <x:c r="O153" s="138"/>
      <x:c r="P153" s="138"/>
      <x:c r="Q153" s="138"/>
      <x:c r="R153" s="138"/>
      <x:c r="S153" s="138"/>
      <x:c r="T153" s="138"/>
      <x:c r="U153" s="138"/>
      <x:c r="V153" s="138"/>
      <x:c r="W153" s="138"/>
      <x:c r="X153" s="138"/>
      <x:c r="Y153" s="138"/>
      <x:c r="Z153" s="138"/>
    </x:row>
    <x:row r="154">
      <x:c r="A154" s="138"/>
      <x:c r="B154" s="138"/>
      <x:c r="C154" s="138"/>
      <x:c r="D154" s="138"/>
      <x:c r="E154" s="138"/>
      <x:c r="F154" s="138"/>
      <x:c r="G154" s="138"/>
      <x:c r="H154" s="138"/>
      <x:c r="I154" s="138"/>
      <x:c r="J154" s="138"/>
      <x:c r="K154" s="138"/>
      <x:c r="L154" s="138"/>
      <x:c r="M154" s="138"/>
      <x:c r="N154" s="138"/>
      <x:c r="O154" s="138"/>
      <x:c r="P154" s="138"/>
      <x:c r="Q154" s="138"/>
      <x:c r="R154" s="138"/>
      <x:c r="S154" s="138"/>
      <x:c r="T154" s="138"/>
      <x:c r="U154" s="138"/>
      <x:c r="V154" s="138"/>
      <x:c r="W154" s="138"/>
      <x:c r="X154" s="138"/>
      <x:c r="Y154" s="138"/>
      <x:c r="Z154" s="138"/>
    </x:row>
    <x:row r="155">
      <x:c r="A155" s="138"/>
      <x:c r="B155" s="138"/>
      <x:c r="C155" s="138"/>
      <x:c r="D155" s="138"/>
      <x:c r="E155" s="138"/>
      <x:c r="F155" s="138"/>
      <x:c r="G155" s="138"/>
      <x:c r="H155" s="138"/>
      <x:c r="I155" s="138"/>
      <x:c r="J155" s="138"/>
      <x:c r="K155" s="138"/>
      <x:c r="L155" s="138"/>
      <x:c r="M155" s="138"/>
      <x:c r="N155" s="138"/>
      <x:c r="O155" s="138"/>
      <x:c r="P155" s="138"/>
      <x:c r="Q155" s="138"/>
      <x:c r="R155" s="138"/>
      <x:c r="S155" s="138"/>
      <x:c r="T155" s="138"/>
      <x:c r="U155" s="138"/>
      <x:c r="V155" s="138"/>
      <x:c r="W155" s="138"/>
      <x:c r="X155" s="138"/>
      <x:c r="Y155" s="138"/>
      <x:c r="Z155" s="138"/>
    </x:row>
    <x:row r="156">
      <x:c r="A156" s="138"/>
      <x:c r="B156" s="138"/>
      <x:c r="C156" s="138"/>
      <x:c r="D156" s="138"/>
      <x:c r="E156" s="138"/>
      <x:c r="F156" s="138"/>
      <x:c r="G156" s="138"/>
      <x:c r="H156" s="138"/>
      <x:c r="I156" s="138"/>
      <x:c r="J156" s="138"/>
      <x:c r="K156" s="138"/>
      <x:c r="L156" s="138"/>
      <x:c r="M156" s="138"/>
      <x:c r="N156" s="138"/>
      <x:c r="O156" s="138"/>
      <x:c r="P156" s="138"/>
      <x:c r="Q156" s="138"/>
      <x:c r="R156" s="138"/>
      <x:c r="S156" s="138"/>
      <x:c r="T156" s="138"/>
      <x:c r="U156" s="138"/>
      <x:c r="V156" s="138"/>
      <x:c r="W156" s="138"/>
      <x:c r="X156" s="138"/>
      <x:c r="Y156" s="138"/>
      <x:c r="Z156" s="138"/>
    </x:row>
    <x:row r="157">
      <x:c r="A157" s="138"/>
      <x:c r="B157" s="138"/>
      <x:c r="C157" s="138"/>
      <x:c r="D157" s="138"/>
      <x:c r="E157" s="138"/>
      <x:c r="F157" s="138"/>
      <x:c r="G157" s="138"/>
      <x:c r="H157" s="138"/>
      <x:c r="I157" s="138"/>
      <x:c r="J157" s="138"/>
      <x:c r="K157" s="138"/>
      <x:c r="L157" s="138"/>
      <x:c r="M157" s="138"/>
      <x:c r="N157" s="138"/>
      <x:c r="O157" s="138"/>
      <x:c r="P157" s="138"/>
      <x:c r="Q157" s="138"/>
      <x:c r="R157" s="138"/>
      <x:c r="S157" s="138"/>
      <x:c r="T157" s="138"/>
      <x:c r="U157" s="138"/>
      <x:c r="V157" s="138"/>
      <x:c r="W157" s="138"/>
      <x:c r="X157" s="138"/>
      <x:c r="Y157" s="138"/>
      <x:c r="Z157" s="138"/>
    </x:row>
    <x:row r="158">
      <x:c r="A158" s="138"/>
      <x:c r="B158" s="138"/>
      <x:c r="C158" s="138"/>
      <x:c r="D158" s="138"/>
      <x:c r="E158" s="138"/>
      <x:c r="F158" s="138"/>
      <x:c r="G158" s="138"/>
      <x:c r="H158" s="138"/>
      <x:c r="I158" s="138"/>
      <x:c r="J158" s="138"/>
      <x:c r="K158" s="138"/>
      <x:c r="L158" s="138"/>
      <x:c r="M158" s="138"/>
      <x:c r="N158" s="138"/>
      <x:c r="O158" s="138"/>
      <x:c r="P158" s="138"/>
      <x:c r="Q158" s="138"/>
      <x:c r="R158" s="138"/>
      <x:c r="S158" s="138"/>
      <x:c r="T158" s="138"/>
      <x:c r="U158" s="138"/>
      <x:c r="V158" s="138"/>
      <x:c r="W158" s="138"/>
      <x:c r="X158" s="138"/>
      <x:c r="Y158" s="138"/>
      <x:c r="Z158" s="138"/>
    </x:row>
    <x:row r="159">
      <x:c r="A159" s="138"/>
      <x:c r="B159" s="138"/>
      <x:c r="C159" s="138"/>
      <x:c r="D159" s="138"/>
      <x:c r="E159" s="138"/>
      <x:c r="F159" s="138"/>
      <x:c r="G159" s="138"/>
      <x:c r="H159" s="138"/>
      <x:c r="I159" s="138"/>
      <x:c r="J159" s="138"/>
      <x:c r="K159" s="138"/>
      <x:c r="L159" s="138"/>
      <x:c r="M159" s="138"/>
      <x:c r="N159" s="138"/>
      <x:c r="O159" s="138"/>
      <x:c r="P159" s="138"/>
      <x:c r="Q159" s="138"/>
      <x:c r="R159" s="138"/>
      <x:c r="S159" s="138"/>
      <x:c r="T159" s="138"/>
      <x:c r="U159" s="138"/>
      <x:c r="V159" s="138"/>
      <x:c r="W159" s="138"/>
      <x:c r="X159" s="138"/>
      <x:c r="Y159" s="138"/>
      <x:c r="Z159" s="138"/>
    </x:row>
    <x:row r="160">
      <x:c r="A160" s="138"/>
      <x:c r="B160" s="138"/>
      <x:c r="C160" s="138"/>
      <x:c r="D160" s="138"/>
      <x:c r="E160" s="138"/>
      <x:c r="F160" s="138"/>
      <x:c r="G160" s="138"/>
      <x:c r="H160" s="138"/>
      <x:c r="I160" s="138"/>
      <x:c r="J160" s="138"/>
      <x:c r="K160" s="138"/>
      <x:c r="L160" s="138"/>
      <x:c r="M160" s="138"/>
      <x:c r="N160" s="138"/>
      <x:c r="O160" s="138"/>
      <x:c r="P160" s="138"/>
      <x:c r="Q160" s="138"/>
      <x:c r="R160" s="138"/>
      <x:c r="S160" s="138"/>
      <x:c r="T160" s="138"/>
      <x:c r="U160" s="138"/>
      <x:c r="V160" s="138"/>
      <x:c r="W160" s="138"/>
      <x:c r="X160" s="138"/>
      <x:c r="Y160" s="138"/>
      <x:c r="Z160" s="138"/>
    </x:row>
    <x:row r="161">
      <x:c r="A161" s="138"/>
      <x:c r="B161" s="138"/>
      <x:c r="C161" s="138"/>
      <x:c r="D161" s="138"/>
      <x:c r="E161" s="138"/>
      <x:c r="F161" s="138"/>
      <x:c r="G161" s="138"/>
      <x:c r="H161" s="138"/>
      <x:c r="I161" s="138"/>
      <x:c r="J161" s="138"/>
      <x:c r="K161" s="138"/>
      <x:c r="L161" s="138"/>
      <x:c r="M161" s="138"/>
      <x:c r="N161" s="138"/>
      <x:c r="O161" s="138"/>
      <x:c r="P161" s="138"/>
      <x:c r="Q161" s="138"/>
      <x:c r="R161" s="138"/>
      <x:c r="S161" s="138"/>
      <x:c r="T161" s="138"/>
      <x:c r="U161" s="138"/>
      <x:c r="V161" s="138"/>
      <x:c r="W161" s="138"/>
      <x:c r="X161" s="138"/>
      <x:c r="Y161" s="138"/>
      <x:c r="Z161" s="138"/>
    </x:row>
    <x:row r="162">
      <x:c r="A162" s="138"/>
      <x:c r="B162" s="138"/>
      <x:c r="C162" s="138"/>
      <x:c r="D162" s="138"/>
      <x:c r="E162" s="138"/>
      <x:c r="F162" s="138"/>
      <x:c r="G162" s="138"/>
      <x:c r="H162" s="138"/>
      <x:c r="I162" s="138"/>
      <x:c r="J162" s="138"/>
      <x:c r="K162" s="138"/>
      <x:c r="L162" s="138"/>
      <x:c r="M162" s="138"/>
      <x:c r="N162" s="138"/>
      <x:c r="O162" s="138"/>
      <x:c r="P162" s="138"/>
      <x:c r="Q162" s="138"/>
      <x:c r="R162" s="138"/>
      <x:c r="S162" s="138"/>
      <x:c r="T162" s="138"/>
      <x:c r="U162" s="138"/>
      <x:c r="V162" s="138"/>
      <x:c r="W162" s="138"/>
      <x:c r="X162" s="138"/>
      <x:c r="Y162" s="138"/>
      <x:c r="Z162" s="138"/>
    </x:row>
    <x:row r="163">
      <x:c r="A163" s="138"/>
      <x:c r="B163" s="138"/>
      <x:c r="C163" s="138"/>
      <x:c r="D163" s="138"/>
      <x:c r="E163" s="138"/>
      <x:c r="F163" s="138"/>
      <x:c r="G163" s="138"/>
      <x:c r="H163" s="138"/>
      <x:c r="I163" s="138"/>
      <x:c r="J163" s="138"/>
      <x:c r="K163" s="138"/>
      <x:c r="L163" s="138"/>
      <x:c r="M163" s="138"/>
      <x:c r="N163" s="138"/>
      <x:c r="O163" s="138"/>
      <x:c r="P163" s="138"/>
      <x:c r="Q163" s="138"/>
      <x:c r="R163" s="138"/>
      <x:c r="S163" s="138"/>
      <x:c r="T163" s="138"/>
      <x:c r="U163" s="138"/>
      <x:c r="V163" s="138"/>
      <x:c r="W163" s="138"/>
      <x:c r="X163" s="138"/>
      <x:c r="Y163" s="138"/>
      <x:c r="Z163" s="138"/>
    </x:row>
    <x:row r="164">
      <x:c r="A164" s="138"/>
      <x:c r="B164" s="138"/>
      <x:c r="C164" s="138"/>
      <x:c r="D164" s="138"/>
      <x:c r="E164" s="138"/>
      <x:c r="F164" s="138"/>
      <x:c r="G164" s="138"/>
      <x:c r="H164" s="138"/>
      <x:c r="I164" s="138"/>
      <x:c r="J164" s="138"/>
      <x:c r="K164" s="138"/>
      <x:c r="L164" s="138"/>
      <x:c r="M164" s="138"/>
      <x:c r="N164" s="138"/>
      <x:c r="O164" s="138"/>
      <x:c r="P164" s="138"/>
      <x:c r="Q164" s="138"/>
      <x:c r="R164" s="138"/>
      <x:c r="S164" s="138"/>
      <x:c r="T164" s="138"/>
      <x:c r="U164" s="138"/>
      <x:c r="V164" s="138"/>
      <x:c r="W164" s="138"/>
      <x:c r="X164" s="138"/>
      <x:c r="Y164" s="138"/>
      <x:c r="Z164" s="138"/>
    </x:row>
    <x:row r="165">
      <x:c r="A165" s="138"/>
      <x:c r="B165" s="138"/>
      <x:c r="C165" s="138"/>
      <x:c r="D165" s="138"/>
      <x:c r="E165" s="138"/>
      <x:c r="F165" s="138"/>
      <x:c r="G165" s="138"/>
      <x:c r="H165" s="138"/>
      <x:c r="I165" s="138"/>
      <x:c r="J165" s="138"/>
      <x:c r="K165" s="138"/>
      <x:c r="L165" s="138"/>
      <x:c r="M165" s="138"/>
      <x:c r="N165" s="138"/>
      <x:c r="O165" s="138"/>
      <x:c r="P165" s="138"/>
      <x:c r="Q165" s="138"/>
      <x:c r="R165" s="138"/>
      <x:c r="S165" s="138"/>
      <x:c r="T165" s="138"/>
      <x:c r="U165" s="138"/>
      <x:c r="V165" s="138"/>
      <x:c r="W165" s="138"/>
      <x:c r="X165" s="138"/>
      <x:c r="Y165" s="138"/>
      <x:c r="Z165" s="138"/>
    </x:row>
    <x:row r="166">
      <x:c r="A166" s="138"/>
      <x:c r="B166" s="138"/>
      <x:c r="C166" s="138"/>
      <x:c r="D166" s="138"/>
      <x:c r="E166" s="138"/>
      <x:c r="F166" s="138"/>
      <x:c r="G166" s="138"/>
      <x:c r="H166" s="138"/>
      <x:c r="I166" s="138"/>
      <x:c r="J166" s="138"/>
      <x:c r="K166" s="138"/>
      <x:c r="L166" s="138"/>
      <x:c r="M166" s="138"/>
      <x:c r="N166" s="138"/>
      <x:c r="O166" s="138"/>
      <x:c r="P166" s="138"/>
      <x:c r="Q166" s="138"/>
      <x:c r="R166" s="138"/>
      <x:c r="S166" s="138"/>
      <x:c r="T166" s="138"/>
      <x:c r="U166" s="138"/>
      <x:c r="V166" s="138"/>
      <x:c r="W166" s="138"/>
      <x:c r="X166" s="138"/>
      <x:c r="Y166" s="138"/>
      <x:c r="Z166" s="138"/>
    </x:row>
    <x:row r="167">
      <x:c r="A167" s="138"/>
      <x:c r="B167" s="138"/>
      <x:c r="C167" s="138"/>
      <x:c r="D167" s="138"/>
      <x:c r="E167" s="138"/>
      <x:c r="F167" s="138"/>
      <x:c r="G167" s="138"/>
      <x:c r="H167" s="138"/>
      <x:c r="I167" s="138"/>
      <x:c r="J167" s="138"/>
      <x:c r="K167" s="138"/>
      <x:c r="L167" s="138"/>
      <x:c r="M167" s="138"/>
      <x:c r="N167" s="138"/>
      <x:c r="O167" s="138"/>
      <x:c r="P167" s="138"/>
      <x:c r="Q167" s="138"/>
      <x:c r="R167" s="138"/>
      <x:c r="S167" s="138"/>
      <x:c r="T167" s="138"/>
      <x:c r="U167" s="138"/>
      <x:c r="V167" s="138"/>
      <x:c r="W167" s="138"/>
      <x:c r="X167" s="138"/>
      <x:c r="Y167" s="138"/>
      <x:c r="Z167" s="138"/>
    </x:row>
    <x:row r="168">
      <x:c r="A168" s="138"/>
      <x:c r="B168" s="138"/>
      <x:c r="C168" s="138"/>
      <x:c r="D168" s="138"/>
      <x:c r="E168" s="138"/>
      <x:c r="F168" s="138"/>
      <x:c r="G168" s="138"/>
      <x:c r="H168" s="138"/>
      <x:c r="I168" s="138"/>
      <x:c r="J168" s="138"/>
      <x:c r="K168" s="138"/>
      <x:c r="L168" s="138"/>
      <x:c r="M168" s="138"/>
      <x:c r="N168" s="138"/>
      <x:c r="O168" s="138"/>
      <x:c r="P168" s="138"/>
      <x:c r="Q168" s="138"/>
      <x:c r="R168" s="138"/>
      <x:c r="S168" s="138"/>
      <x:c r="T168" s="138"/>
      <x:c r="U168" s="138"/>
      <x:c r="V168" s="138"/>
      <x:c r="W168" s="138"/>
      <x:c r="X168" s="138"/>
      <x:c r="Y168" s="138"/>
      <x:c r="Z168" s="138"/>
    </x:row>
    <x:row r="169">
      <x:c r="A169" s="138"/>
      <x:c r="B169" s="138"/>
      <x:c r="C169" s="138"/>
      <x:c r="D169" s="138"/>
      <x:c r="E169" s="138"/>
      <x:c r="F169" s="138"/>
      <x:c r="G169" s="138"/>
      <x:c r="H169" s="138"/>
      <x:c r="I169" s="138"/>
      <x:c r="J169" s="138"/>
      <x:c r="K169" s="138"/>
      <x:c r="L169" s="138"/>
      <x:c r="M169" s="138"/>
      <x:c r="N169" s="138"/>
      <x:c r="O169" s="138"/>
      <x:c r="P169" s="138"/>
      <x:c r="Q169" s="138"/>
      <x:c r="R169" s="138"/>
      <x:c r="S169" s="138"/>
      <x:c r="T169" s="138"/>
      <x:c r="U169" s="138"/>
      <x:c r="V169" s="138"/>
      <x:c r="W169" s="138"/>
      <x:c r="X169" s="138"/>
      <x:c r="Y169" s="138"/>
      <x:c r="Z169" s="138"/>
    </x:row>
    <x:row r="170">
      <x:c r="A170" s="138"/>
      <x:c r="B170" s="138"/>
      <x:c r="C170" s="138"/>
      <x:c r="D170" s="138"/>
      <x:c r="E170" s="138"/>
      <x:c r="F170" s="138"/>
      <x:c r="G170" s="138"/>
      <x:c r="H170" s="138"/>
      <x:c r="I170" s="138"/>
      <x:c r="J170" s="138"/>
      <x:c r="K170" s="138"/>
      <x:c r="L170" s="138"/>
      <x:c r="M170" s="138"/>
      <x:c r="N170" s="138"/>
      <x:c r="O170" s="138"/>
      <x:c r="P170" s="138"/>
      <x:c r="Q170" s="138"/>
      <x:c r="R170" s="138"/>
      <x:c r="S170" s="138"/>
      <x:c r="T170" s="138"/>
      <x:c r="U170" s="138"/>
      <x:c r="V170" s="138"/>
      <x:c r="W170" s="138"/>
      <x:c r="X170" s="138"/>
      <x:c r="Y170" s="138"/>
      <x:c r="Z170" s="138"/>
    </x:row>
    <x:row r="171">
      <x:c r="A171" s="138"/>
      <x:c r="B171" s="138"/>
      <x:c r="C171" s="138"/>
      <x:c r="D171" s="138"/>
      <x:c r="E171" s="138"/>
      <x:c r="F171" s="138"/>
      <x:c r="G171" s="138"/>
      <x:c r="H171" s="138"/>
      <x:c r="I171" s="138"/>
      <x:c r="J171" s="138"/>
      <x:c r="K171" s="138"/>
      <x:c r="L171" s="138"/>
      <x:c r="M171" s="138"/>
      <x:c r="N171" s="138"/>
      <x:c r="O171" s="138"/>
      <x:c r="P171" s="138"/>
      <x:c r="Q171" s="138"/>
      <x:c r="R171" s="138"/>
      <x:c r="S171" s="138"/>
      <x:c r="T171" s="138"/>
      <x:c r="U171" s="138"/>
      <x:c r="V171" s="138"/>
      <x:c r="W171" s="138"/>
      <x:c r="X171" s="138"/>
      <x:c r="Y171" s="138"/>
      <x:c r="Z171" s="138"/>
    </x:row>
    <x:row r="172">
      <x:c r="A172" s="138"/>
      <x:c r="B172" s="138"/>
      <x:c r="C172" s="138"/>
      <x:c r="D172" s="138"/>
      <x:c r="E172" s="138"/>
      <x:c r="F172" s="138"/>
      <x:c r="G172" s="138"/>
      <x:c r="H172" s="138"/>
      <x:c r="I172" s="138"/>
      <x:c r="J172" s="138"/>
      <x:c r="K172" s="138"/>
      <x:c r="L172" s="138"/>
      <x:c r="M172" s="138"/>
      <x:c r="N172" s="138"/>
      <x:c r="O172" s="138"/>
      <x:c r="P172" s="138"/>
      <x:c r="Q172" s="138"/>
      <x:c r="R172" s="138"/>
      <x:c r="S172" s="138"/>
      <x:c r="T172" s="138"/>
      <x:c r="U172" s="138"/>
      <x:c r="V172" s="138"/>
      <x:c r="W172" s="138"/>
      <x:c r="X172" s="138"/>
      <x:c r="Y172" s="138"/>
      <x:c r="Z172" s="138"/>
    </x:row>
    <x:row r="173">
      <x:c r="A173" s="138"/>
      <x:c r="B173" s="138"/>
      <x:c r="C173" s="138"/>
      <x:c r="D173" s="138"/>
      <x:c r="E173" s="138"/>
      <x:c r="F173" s="138"/>
      <x:c r="G173" s="138"/>
      <x:c r="H173" s="138"/>
      <x:c r="I173" s="138"/>
      <x:c r="J173" s="138"/>
      <x:c r="K173" s="138"/>
      <x:c r="L173" s="138"/>
      <x:c r="M173" s="138"/>
      <x:c r="N173" s="138"/>
      <x:c r="O173" s="138"/>
      <x:c r="P173" s="138"/>
      <x:c r="Q173" s="138"/>
      <x:c r="R173" s="138"/>
      <x:c r="S173" s="138"/>
      <x:c r="T173" s="138"/>
      <x:c r="U173" s="138"/>
      <x:c r="V173" s="138"/>
      <x:c r="W173" s="138"/>
      <x:c r="X173" s="138"/>
      <x:c r="Y173" s="138"/>
      <x:c r="Z173" s="138"/>
    </x:row>
    <x:row r="174">
      <x:c r="A174" s="138"/>
      <x:c r="B174" s="138"/>
      <x:c r="C174" s="138"/>
      <x:c r="D174" s="138"/>
      <x:c r="E174" s="138"/>
      <x:c r="F174" s="138"/>
      <x:c r="G174" s="138"/>
      <x:c r="H174" s="138"/>
      <x:c r="I174" s="138"/>
      <x:c r="J174" s="138"/>
      <x:c r="K174" s="138"/>
      <x:c r="L174" s="138"/>
      <x:c r="M174" s="138"/>
      <x:c r="N174" s="138"/>
      <x:c r="O174" s="138"/>
      <x:c r="P174" s="138"/>
      <x:c r="Q174" s="138"/>
      <x:c r="R174" s="138"/>
      <x:c r="S174" s="138"/>
      <x:c r="T174" s="138"/>
      <x:c r="U174" s="138"/>
      <x:c r="V174" s="138"/>
      <x:c r="W174" s="138"/>
      <x:c r="X174" s="138"/>
      <x:c r="Y174" s="138"/>
      <x:c r="Z174" s="138"/>
    </x:row>
    <x:row r="175">
      <x:c r="A175" s="138"/>
      <x:c r="B175" s="138"/>
      <x:c r="C175" s="138"/>
      <x:c r="D175" s="138"/>
      <x:c r="E175" s="138"/>
      <x:c r="F175" s="138"/>
      <x:c r="G175" s="138"/>
      <x:c r="H175" s="138"/>
      <x:c r="I175" s="138"/>
      <x:c r="J175" s="138"/>
      <x:c r="K175" s="138"/>
      <x:c r="L175" s="138"/>
      <x:c r="M175" s="138"/>
      <x:c r="N175" s="138"/>
      <x:c r="O175" s="138"/>
      <x:c r="P175" s="138"/>
      <x:c r="Q175" s="138"/>
      <x:c r="R175" s="138"/>
      <x:c r="S175" s="138"/>
      <x:c r="T175" s="138"/>
      <x:c r="U175" s="138"/>
      <x:c r="V175" s="138"/>
      <x:c r="W175" s="138"/>
      <x:c r="X175" s="138"/>
      <x:c r="Y175" s="138"/>
      <x:c r="Z175" s="138"/>
    </x:row>
    <x:row r="176">
      <x:c r="A176" s="138"/>
      <x:c r="B176" s="138"/>
      <x:c r="C176" s="138"/>
      <x:c r="D176" s="138"/>
      <x:c r="E176" s="138"/>
      <x:c r="F176" s="138"/>
      <x:c r="G176" s="138"/>
      <x:c r="H176" s="138"/>
      <x:c r="I176" s="138"/>
      <x:c r="J176" s="138"/>
      <x:c r="K176" s="138"/>
      <x:c r="L176" s="138"/>
      <x:c r="M176" s="138"/>
      <x:c r="N176" s="138"/>
      <x:c r="O176" s="138"/>
      <x:c r="P176" s="138"/>
      <x:c r="Q176" s="138"/>
      <x:c r="R176" s="138"/>
      <x:c r="S176" s="138"/>
      <x:c r="T176" s="138"/>
      <x:c r="U176" s="138"/>
      <x:c r="V176" s="138"/>
      <x:c r="W176" s="138"/>
      <x:c r="X176" s="138"/>
      <x:c r="Y176" s="138"/>
      <x:c r="Z176" s="138"/>
    </x:row>
    <x:row r="177">
      <x:c r="A177" s="138"/>
      <x:c r="B177" s="138"/>
      <x:c r="C177" s="138"/>
      <x:c r="D177" s="138"/>
      <x:c r="E177" s="138"/>
      <x:c r="F177" s="138"/>
      <x:c r="G177" s="138"/>
      <x:c r="H177" s="138"/>
      <x:c r="I177" s="138"/>
      <x:c r="J177" s="138"/>
      <x:c r="K177" s="138"/>
      <x:c r="L177" s="138"/>
      <x:c r="M177" s="138"/>
      <x:c r="N177" s="138"/>
      <x:c r="O177" s="138"/>
      <x:c r="P177" s="138"/>
      <x:c r="Q177" s="138"/>
      <x:c r="R177" s="138"/>
      <x:c r="S177" s="138"/>
      <x:c r="T177" s="138"/>
      <x:c r="U177" s="138"/>
      <x:c r="V177" s="138"/>
      <x:c r="W177" s="138"/>
      <x:c r="X177" s="138"/>
      <x:c r="Y177" s="138"/>
      <x:c r="Z177" s="138"/>
    </x:row>
    <x:row r="178">
      <x:c r="A178" s="138"/>
      <x:c r="B178" s="138"/>
      <x:c r="C178" s="138"/>
      <x:c r="D178" s="138"/>
      <x:c r="E178" s="138"/>
      <x:c r="F178" s="138"/>
      <x:c r="G178" s="138"/>
      <x:c r="H178" s="138"/>
      <x:c r="I178" s="138"/>
      <x:c r="J178" s="138"/>
      <x:c r="K178" s="138"/>
      <x:c r="L178" s="138"/>
      <x:c r="M178" s="138"/>
      <x:c r="N178" s="138"/>
      <x:c r="O178" s="138"/>
      <x:c r="P178" s="138"/>
      <x:c r="Q178" s="138"/>
      <x:c r="R178" s="138"/>
      <x:c r="S178" s="138"/>
      <x:c r="T178" s="138"/>
      <x:c r="U178" s="138"/>
      <x:c r="V178" s="138"/>
      <x:c r="W178" s="138"/>
      <x:c r="X178" s="138"/>
      <x:c r="Y178" s="138"/>
      <x:c r="Z178" s="138"/>
    </x:row>
    <x:row r="179">
      <x:c r="A179" s="138"/>
      <x:c r="B179" s="138"/>
      <x:c r="C179" s="138"/>
      <x:c r="D179" s="138"/>
      <x:c r="E179" s="138"/>
      <x:c r="F179" s="138"/>
      <x:c r="G179" s="138"/>
      <x:c r="H179" s="138"/>
      <x:c r="I179" s="138"/>
      <x:c r="J179" s="138"/>
      <x:c r="K179" s="138"/>
      <x:c r="L179" s="138"/>
      <x:c r="M179" s="138"/>
      <x:c r="N179" s="138"/>
      <x:c r="O179" s="138"/>
      <x:c r="P179" s="138"/>
      <x:c r="Q179" s="138"/>
      <x:c r="R179" s="138"/>
      <x:c r="S179" s="138"/>
      <x:c r="T179" s="138"/>
      <x:c r="U179" s="138"/>
      <x:c r="V179" s="138"/>
      <x:c r="W179" s="138"/>
      <x:c r="X179" s="138"/>
      <x:c r="Y179" s="138"/>
      <x:c r="Z179" s="138"/>
    </x:row>
    <x:row r="180">
      <x:c r="A180" s="138"/>
      <x:c r="B180" s="138"/>
      <x:c r="C180" s="138"/>
      <x:c r="D180" s="138"/>
      <x:c r="E180" s="138"/>
      <x:c r="F180" s="138"/>
      <x:c r="G180" s="138"/>
      <x:c r="H180" s="138"/>
      <x:c r="I180" s="138"/>
      <x:c r="J180" s="138"/>
      <x:c r="K180" s="138"/>
      <x:c r="L180" s="138"/>
      <x:c r="M180" s="138"/>
      <x:c r="N180" s="138"/>
      <x:c r="O180" s="138"/>
      <x:c r="P180" s="138"/>
      <x:c r="Q180" s="138"/>
      <x:c r="R180" s="138"/>
      <x:c r="S180" s="138"/>
      <x:c r="T180" s="138"/>
      <x:c r="U180" s="138"/>
      <x:c r="V180" s="138"/>
      <x:c r="W180" s="138"/>
      <x:c r="X180" s="138"/>
      <x:c r="Y180" s="138"/>
      <x:c r="Z180" s="138"/>
    </x:row>
    <x:row r="181">
      <x:c r="A181" s="138"/>
      <x:c r="B181" s="138"/>
      <x:c r="C181" s="138"/>
      <x:c r="D181" s="138"/>
      <x:c r="E181" s="138"/>
      <x:c r="F181" s="138"/>
      <x:c r="G181" s="138"/>
      <x:c r="H181" s="138"/>
      <x:c r="I181" s="138"/>
      <x:c r="J181" s="138"/>
      <x:c r="K181" s="138"/>
      <x:c r="L181" s="138"/>
      <x:c r="M181" s="138"/>
      <x:c r="N181" s="138"/>
      <x:c r="O181" s="138"/>
      <x:c r="P181" s="138"/>
      <x:c r="Q181" s="138"/>
      <x:c r="R181" s="138"/>
      <x:c r="S181" s="138"/>
      <x:c r="T181" s="138"/>
      <x:c r="U181" s="138"/>
      <x:c r="V181" s="138"/>
      <x:c r="W181" s="138"/>
      <x:c r="X181" s="138"/>
      <x:c r="Y181" s="138"/>
      <x:c r="Z181" s="138"/>
    </x:row>
    <x:row r="182">
      <x:c r="A182" s="138"/>
      <x:c r="B182" s="138"/>
      <x:c r="C182" s="138"/>
      <x:c r="D182" s="138"/>
      <x:c r="E182" s="138"/>
      <x:c r="F182" s="138"/>
      <x:c r="G182" s="138"/>
      <x:c r="H182" s="138"/>
      <x:c r="I182" s="138"/>
      <x:c r="J182" s="138"/>
      <x:c r="K182" s="138"/>
      <x:c r="L182" s="138"/>
      <x:c r="M182" s="138"/>
      <x:c r="N182" s="138"/>
      <x:c r="O182" s="138"/>
      <x:c r="P182" s="138"/>
      <x:c r="Q182" s="138"/>
      <x:c r="R182" s="138"/>
      <x:c r="S182" s="138"/>
      <x:c r="T182" s="138"/>
      <x:c r="U182" s="138"/>
      <x:c r="V182" s="138"/>
      <x:c r="W182" s="138"/>
      <x:c r="X182" s="138"/>
      <x:c r="Y182" s="138"/>
      <x:c r="Z182" s="138"/>
    </x:row>
    <x:row r="183">
      <x:c r="A183" s="138"/>
      <x:c r="B183" s="138"/>
      <x:c r="C183" s="138"/>
      <x:c r="D183" s="138"/>
      <x:c r="E183" s="138"/>
      <x:c r="F183" s="138"/>
      <x:c r="G183" s="138"/>
      <x:c r="H183" s="138"/>
      <x:c r="I183" s="138"/>
      <x:c r="J183" s="138"/>
      <x:c r="K183" s="138"/>
      <x:c r="L183" s="138"/>
      <x:c r="M183" s="138"/>
      <x:c r="N183" s="138"/>
      <x:c r="O183" s="138"/>
      <x:c r="P183" s="138"/>
      <x:c r="Q183" s="138"/>
      <x:c r="R183" s="138"/>
      <x:c r="S183" s="138"/>
      <x:c r="T183" s="138"/>
      <x:c r="U183" s="138"/>
      <x:c r="V183" s="138"/>
      <x:c r="W183" s="138"/>
      <x:c r="X183" s="138"/>
      <x:c r="Y183" s="138"/>
      <x:c r="Z183" s="138"/>
    </x:row>
    <x:row r="184">
      <x:c r="A184" s="138"/>
      <x:c r="B184" s="138"/>
      <x:c r="C184" s="138"/>
      <x:c r="D184" s="138"/>
      <x:c r="E184" s="138"/>
      <x:c r="F184" s="138"/>
      <x:c r="G184" s="138"/>
      <x:c r="H184" s="138"/>
      <x:c r="I184" s="138"/>
      <x:c r="J184" s="138"/>
      <x:c r="K184" s="138"/>
      <x:c r="L184" s="138"/>
      <x:c r="M184" s="138"/>
      <x:c r="N184" s="138"/>
      <x:c r="O184" s="138"/>
      <x:c r="P184" s="138"/>
      <x:c r="Q184" s="138"/>
      <x:c r="R184" s="138"/>
      <x:c r="S184" s="138"/>
      <x:c r="T184" s="138"/>
      <x:c r="U184" s="138"/>
      <x:c r="V184" s="138"/>
      <x:c r="W184" s="138"/>
      <x:c r="X184" s="138"/>
      <x:c r="Y184" s="138"/>
      <x:c r="Z184" s="138"/>
    </x:row>
    <x:row r="185">
      <x:c r="A185" s="138"/>
      <x:c r="B185" s="138"/>
      <x:c r="C185" s="138"/>
      <x:c r="D185" s="138"/>
      <x:c r="E185" s="138"/>
      <x:c r="F185" s="138"/>
      <x:c r="G185" s="138"/>
      <x:c r="H185" s="138"/>
      <x:c r="I185" s="138"/>
      <x:c r="J185" s="138"/>
      <x:c r="K185" s="138"/>
      <x:c r="L185" s="138"/>
      <x:c r="M185" s="138"/>
      <x:c r="N185" s="138"/>
      <x:c r="O185" s="138"/>
      <x:c r="P185" s="138"/>
      <x:c r="Q185" s="138"/>
      <x:c r="R185" s="138"/>
      <x:c r="S185" s="138"/>
      <x:c r="T185" s="138"/>
      <x:c r="U185" s="138"/>
      <x:c r="V185" s="138"/>
      <x:c r="W185" s="138"/>
      <x:c r="X185" s="138"/>
      <x:c r="Y185" s="138"/>
      <x:c r="Z185" s="138"/>
    </x:row>
    <x:row r="186">
      <x:c r="A186" s="138"/>
      <x:c r="B186" s="138"/>
      <x:c r="C186" s="138"/>
      <x:c r="D186" s="138"/>
      <x:c r="E186" s="138"/>
      <x:c r="F186" s="138"/>
      <x:c r="G186" s="138"/>
      <x:c r="H186" s="138"/>
      <x:c r="I186" s="138"/>
      <x:c r="J186" s="138"/>
      <x:c r="K186" s="138"/>
      <x:c r="L186" s="138"/>
      <x:c r="M186" s="138"/>
      <x:c r="N186" s="138"/>
      <x:c r="O186" s="138"/>
      <x:c r="P186" s="138"/>
      <x:c r="Q186" s="138"/>
      <x:c r="R186" s="138"/>
      <x:c r="S186" s="138"/>
      <x:c r="T186" s="138"/>
      <x:c r="U186" s="138"/>
      <x:c r="V186" s="138"/>
      <x:c r="W186" s="138"/>
      <x:c r="X186" s="138"/>
      <x:c r="Y186" s="138"/>
      <x:c r="Z186" s="138"/>
    </x:row>
    <x:row r="187">
      <x:c r="A187" s="138"/>
      <x:c r="B187" s="138"/>
      <x:c r="C187" s="138"/>
      <x:c r="D187" s="138"/>
      <x:c r="E187" s="138"/>
      <x:c r="F187" s="138"/>
      <x:c r="G187" s="138"/>
      <x:c r="H187" s="138"/>
      <x:c r="I187" s="138"/>
      <x:c r="J187" s="138"/>
      <x:c r="K187" s="138"/>
      <x:c r="L187" s="138"/>
      <x:c r="M187" s="138"/>
      <x:c r="N187" s="138"/>
      <x:c r="O187" s="138"/>
      <x:c r="P187" s="138"/>
      <x:c r="Q187" s="138"/>
      <x:c r="R187" s="138"/>
      <x:c r="S187" s="138"/>
      <x:c r="T187" s="138"/>
      <x:c r="U187" s="138"/>
      <x:c r="V187" s="138"/>
      <x:c r="W187" s="138"/>
      <x:c r="X187" s="138"/>
      <x:c r="Y187" s="138"/>
      <x:c r="Z187" s="138"/>
    </x:row>
    <x:row r="188">
      <x:c r="A188" s="138"/>
      <x:c r="B188" s="138"/>
      <x:c r="C188" s="138"/>
      <x:c r="D188" s="138"/>
      <x:c r="E188" s="138"/>
      <x:c r="F188" s="138"/>
      <x:c r="G188" s="138"/>
      <x:c r="H188" s="138"/>
      <x:c r="I188" s="138"/>
      <x:c r="J188" s="138"/>
      <x:c r="K188" s="138"/>
      <x:c r="L188" s="138"/>
      <x:c r="M188" s="138"/>
      <x:c r="N188" s="138"/>
      <x:c r="O188" s="138"/>
      <x:c r="P188" s="138"/>
      <x:c r="Q188" s="138"/>
      <x:c r="R188" s="138"/>
      <x:c r="S188" s="138"/>
      <x:c r="T188" s="138"/>
      <x:c r="U188" s="138"/>
      <x:c r="V188" s="138"/>
      <x:c r="W188" s="138"/>
      <x:c r="X188" s="138"/>
      <x:c r="Y188" s="138"/>
      <x:c r="Z188" s="138"/>
    </x:row>
    <x:row r="189">
      <x:c r="A189" s="138"/>
      <x:c r="B189" s="138"/>
      <x:c r="C189" s="138"/>
      <x:c r="D189" s="138"/>
      <x:c r="E189" s="138"/>
      <x:c r="F189" s="138"/>
      <x:c r="G189" s="138"/>
      <x:c r="H189" s="138"/>
      <x:c r="I189" s="138"/>
      <x:c r="J189" s="138"/>
      <x:c r="K189" s="138"/>
      <x:c r="L189" s="138"/>
      <x:c r="M189" s="138"/>
      <x:c r="N189" s="138"/>
      <x:c r="O189" s="138"/>
      <x:c r="P189" s="138"/>
      <x:c r="Q189" s="138"/>
      <x:c r="R189" s="138"/>
      <x:c r="S189" s="138"/>
      <x:c r="T189" s="138"/>
      <x:c r="U189" s="138"/>
      <x:c r="V189" s="138"/>
      <x:c r="W189" s="138"/>
      <x:c r="X189" s="138"/>
      <x:c r="Y189" s="138"/>
      <x:c r="Z189" s="138"/>
    </x:row>
    <x:row r="190">
      <x:c r="A190" s="138"/>
      <x:c r="B190" s="138"/>
      <x:c r="C190" s="138"/>
      <x:c r="D190" s="138"/>
      <x:c r="E190" s="138"/>
      <x:c r="F190" s="138"/>
      <x:c r="G190" s="138"/>
      <x:c r="H190" s="138"/>
      <x:c r="I190" s="138"/>
      <x:c r="J190" s="138"/>
      <x:c r="K190" s="138"/>
      <x:c r="L190" s="138"/>
      <x:c r="M190" s="138"/>
      <x:c r="N190" s="138"/>
      <x:c r="O190" s="138"/>
      <x:c r="P190" s="138"/>
      <x:c r="Q190" s="138"/>
      <x:c r="R190" s="138"/>
      <x:c r="S190" s="138"/>
      <x:c r="T190" s="138"/>
      <x:c r="U190" s="138"/>
      <x:c r="V190" s="138"/>
      <x:c r="W190" s="138"/>
      <x:c r="X190" s="138"/>
      <x:c r="Y190" s="138"/>
      <x:c r="Z190" s="138"/>
    </x:row>
    <x:row r="191">
      <x:c r="A191" s="138"/>
      <x:c r="B191" s="138"/>
      <x:c r="C191" s="138"/>
      <x:c r="D191" s="138"/>
      <x:c r="E191" s="138"/>
      <x:c r="F191" s="138"/>
      <x:c r="G191" s="138"/>
      <x:c r="H191" s="138"/>
      <x:c r="I191" s="138"/>
      <x:c r="J191" s="138"/>
      <x:c r="K191" s="138"/>
      <x:c r="L191" s="138"/>
      <x:c r="M191" s="138"/>
      <x:c r="N191" s="138"/>
      <x:c r="O191" s="138"/>
      <x:c r="P191" s="138"/>
      <x:c r="Q191" s="138"/>
      <x:c r="R191" s="138"/>
      <x:c r="S191" s="138"/>
      <x:c r="T191" s="138"/>
      <x:c r="U191" s="138"/>
      <x:c r="V191" s="138"/>
      <x:c r="W191" s="138"/>
      <x:c r="X191" s="138"/>
      <x:c r="Y191" s="138"/>
      <x:c r="Z191" s="138"/>
    </x:row>
    <x:row r="192">
      <x:c r="A192" s="138"/>
      <x:c r="B192" s="138"/>
      <x:c r="C192" s="138"/>
      <x:c r="D192" s="138"/>
      <x:c r="E192" s="138"/>
      <x:c r="F192" s="138"/>
      <x:c r="G192" s="138"/>
      <x:c r="H192" s="138"/>
      <x:c r="I192" s="138"/>
      <x:c r="J192" s="138"/>
      <x:c r="K192" s="138"/>
      <x:c r="L192" s="138"/>
      <x:c r="M192" s="138"/>
      <x:c r="N192" s="138"/>
      <x:c r="O192" s="138"/>
      <x:c r="P192" s="138"/>
      <x:c r="Q192" s="138"/>
      <x:c r="R192" s="138"/>
      <x:c r="S192" s="138"/>
      <x:c r="T192" s="138"/>
      <x:c r="U192" s="138"/>
      <x:c r="V192" s="138"/>
      <x:c r="W192" s="138"/>
      <x:c r="X192" s="138"/>
      <x:c r="Y192" s="138"/>
      <x:c r="Z192" s="138"/>
    </x:row>
    <x:row r="193">
      <x:c r="A193" s="138"/>
      <x:c r="B193" s="138"/>
      <x:c r="C193" s="138"/>
      <x:c r="D193" s="138"/>
      <x:c r="E193" s="138"/>
      <x:c r="F193" s="138"/>
      <x:c r="G193" s="138"/>
      <x:c r="H193" s="138"/>
      <x:c r="I193" s="138"/>
      <x:c r="J193" s="138"/>
      <x:c r="K193" s="138"/>
      <x:c r="L193" s="138"/>
      <x:c r="M193" s="138"/>
      <x:c r="N193" s="138"/>
      <x:c r="O193" s="138"/>
      <x:c r="P193" s="138"/>
      <x:c r="Q193" s="138"/>
      <x:c r="R193" s="138"/>
      <x:c r="S193" s="138"/>
      <x:c r="T193" s="138"/>
      <x:c r="U193" s="138"/>
      <x:c r="V193" s="138"/>
      <x:c r="W193" s="138"/>
      <x:c r="X193" s="138"/>
      <x:c r="Y193" s="138"/>
      <x:c r="Z193" s="138"/>
    </x:row>
    <x:row r="194">
      <x:c r="A194" s="138"/>
      <x:c r="B194" s="138"/>
      <x:c r="C194" s="138"/>
      <x:c r="D194" s="138"/>
      <x:c r="E194" s="138"/>
      <x:c r="F194" s="138"/>
      <x:c r="G194" s="138"/>
      <x:c r="H194" s="138"/>
      <x:c r="I194" s="138"/>
      <x:c r="J194" s="138"/>
      <x:c r="K194" s="138"/>
      <x:c r="L194" s="138"/>
      <x:c r="M194" s="138"/>
      <x:c r="N194" s="138"/>
      <x:c r="O194" s="138"/>
      <x:c r="P194" s="138"/>
      <x:c r="Q194" s="138"/>
      <x:c r="R194" s="138"/>
      <x:c r="S194" s="138"/>
      <x:c r="T194" s="138"/>
      <x:c r="U194" s="138"/>
      <x:c r="V194" s="138"/>
      <x:c r="W194" s="138"/>
      <x:c r="X194" s="138"/>
      <x:c r="Y194" s="138"/>
      <x:c r="Z194" s="138"/>
    </x:row>
    <x:row r="195">
      <x:c r="A195" s="138"/>
      <x:c r="B195" s="138"/>
      <x:c r="C195" s="138"/>
      <x:c r="D195" s="138"/>
      <x:c r="E195" s="138"/>
      <x:c r="F195" s="138"/>
      <x:c r="G195" s="138"/>
      <x:c r="H195" s="138"/>
      <x:c r="I195" s="138"/>
      <x:c r="J195" s="138"/>
      <x:c r="K195" s="138"/>
      <x:c r="L195" s="138"/>
      <x:c r="M195" s="138"/>
      <x:c r="N195" s="138"/>
      <x:c r="O195" s="138"/>
      <x:c r="P195" s="138"/>
      <x:c r="Q195" s="138"/>
      <x:c r="R195" s="138"/>
      <x:c r="S195" s="138"/>
      <x:c r="T195" s="138"/>
      <x:c r="U195" s="138"/>
      <x:c r="V195" s="138"/>
      <x:c r="W195" s="138"/>
      <x:c r="X195" s="138"/>
      <x:c r="Y195" s="138"/>
      <x:c r="Z195" s="138"/>
    </x:row>
    <x:row r="196">
      <x:c r="A196" s="138"/>
      <x:c r="B196" s="138"/>
      <x:c r="C196" s="138"/>
      <x:c r="D196" s="138"/>
      <x:c r="E196" s="138"/>
      <x:c r="F196" s="138"/>
      <x:c r="G196" s="138"/>
      <x:c r="H196" s="138"/>
      <x:c r="I196" s="138"/>
      <x:c r="J196" s="138"/>
      <x:c r="K196" s="138"/>
      <x:c r="L196" s="138"/>
      <x:c r="M196" s="138"/>
      <x:c r="N196" s="138"/>
      <x:c r="O196" s="138"/>
      <x:c r="P196" s="138"/>
      <x:c r="Q196" s="138"/>
      <x:c r="R196" s="138"/>
      <x:c r="S196" s="138"/>
      <x:c r="T196" s="138"/>
      <x:c r="U196" s="138"/>
      <x:c r="V196" s="138"/>
      <x:c r="W196" s="138"/>
      <x:c r="X196" s="138"/>
      <x:c r="Y196" s="138"/>
      <x:c r="Z196" s="138"/>
    </x:row>
    <x:row r="197">
      <x:c r="A197" s="138"/>
      <x:c r="B197" s="138"/>
      <x:c r="C197" s="138"/>
      <x:c r="D197" s="138"/>
      <x:c r="E197" s="138"/>
      <x:c r="F197" s="138"/>
      <x:c r="G197" s="138"/>
      <x:c r="H197" s="138"/>
      <x:c r="I197" s="138"/>
      <x:c r="J197" s="138"/>
      <x:c r="K197" s="138"/>
      <x:c r="L197" s="138"/>
      <x:c r="M197" s="138"/>
      <x:c r="N197" s="138"/>
      <x:c r="O197" s="138"/>
      <x:c r="P197" s="138"/>
      <x:c r="Q197" s="138"/>
      <x:c r="R197" s="138"/>
      <x:c r="S197" s="138"/>
      <x:c r="T197" s="138"/>
      <x:c r="U197" s="138"/>
      <x:c r="V197" s="138"/>
      <x:c r="W197" s="138"/>
      <x:c r="X197" s="138"/>
      <x:c r="Y197" s="138"/>
      <x:c r="Z197" s="138"/>
    </x:row>
    <x:row r="198">
      <x:c r="A198" s="138"/>
      <x:c r="B198" s="138"/>
      <x:c r="C198" s="138"/>
      <x:c r="D198" s="138"/>
      <x:c r="E198" s="138"/>
      <x:c r="F198" s="138"/>
      <x:c r="G198" s="138"/>
      <x:c r="H198" s="138"/>
      <x:c r="I198" s="138"/>
      <x:c r="J198" s="138"/>
      <x:c r="K198" s="138"/>
      <x:c r="L198" s="138"/>
      <x:c r="M198" s="138"/>
      <x:c r="N198" s="138"/>
      <x:c r="O198" s="138"/>
      <x:c r="P198" s="138"/>
      <x:c r="Q198" s="138"/>
      <x:c r="R198" s="138"/>
      <x:c r="S198" s="138"/>
      <x:c r="T198" s="138"/>
      <x:c r="U198" s="138"/>
      <x:c r="V198" s="138"/>
      <x:c r="W198" s="138"/>
      <x:c r="X198" s="138"/>
      <x:c r="Y198" s="138"/>
      <x:c r="Z198" s="138"/>
    </x:row>
    <x:row r="199">
      <x:c r="A199" s="138"/>
      <x:c r="B199" s="138"/>
      <x:c r="C199" s="138"/>
      <x:c r="D199" s="138"/>
      <x:c r="E199" s="138"/>
      <x:c r="F199" s="138"/>
      <x:c r="G199" s="138"/>
      <x:c r="H199" s="138"/>
      <x:c r="I199" s="138"/>
      <x:c r="J199" s="138"/>
      <x:c r="K199" s="138"/>
      <x:c r="L199" s="138"/>
      <x:c r="M199" s="138"/>
      <x:c r="N199" s="138"/>
      <x:c r="O199" s="138"/>
      <x:c r="P199" s="138"/>
      <x:c r="Q199" s="138"/>
      <x:c r="R199" s="138"/>
      <x:c r="S199" s="138"/>
      <x:c r="T199" s="138"/>
      <x:c r="U199" s="138"/>
      <x:c r="V199" s="138"/>
      <x:c r="W199" s="138"/>
      <x:c r="X199" s="138"/>
      <x:c r="Y199" s="138"/>
      <x:c r="Z199" s="138"/>
    </x:row>
    <x:row r="200">
      <x:c r="A200" s="138"/>
      <x:c r="B200" s="138"/>
      <x:c r="C200" s="138"/>
      <x:c r="D200" s="138"/>
      <x:c r="E200" s="138"/>
      <x:c r="F200" s="138"/>
      <x:c r="G200" s="138"/>
      <x:c r="H200" s="138"/>
      <x:c r="I200" s="138"/>
      <x:c r="J200" s="138"/>
      <x:c r="K200" s="138"/>
      <x:c r="L200" s="138"/>
      <x:c r="M200" s="138"/>
      <x:c r="N200" s="138"/>
      <x:c r="O200" s="138"/>
      <x:c r="P200" s="138"/>
      <x:c r="Q200" s="138"/>
      <x:c r="R200" s="138"/>
      <x:c r="S200" s="138"/>
      <x:c r="T200" s="138"/>
      <x:c r="U200" s="138"/>
      <x:c r="V200" s="138"/>
      <x:c r="W200" s="138"/>
      <x:c r="X200" s="138"/>
      <x:c r="Y200" s="138"/>
      <x:c r="Z200" s="138"/>
    </x:row>
  </x:sheetData>
  <x:mergeCells>
    <x:mergeCell ref="A1:N1"/>
    <x:mergeCell ref="A2:N2"/>
    <x:mergeCell ref="A11:N11"/>
    <x:mergeCell ref="B13:N13"/>
    <x:mergeCell ref="B14:N14"/>
    <x:mergeCell ref="B15:N15"/>
    <x:mergeCell ref="B16:N16"/>
    <x:mergeCell ref="B17:N17"/>
    <x:mergeCell ref="B18:N18"/>
    <x:mergeCell ref="B19:N19"/>
    <x:mergeCell ref="B20:N20"/>
    <x:mergeCell ref="B21:N21"/>
    <x:mergeCell ref="A9:N9"/>
  </x:mergeCells>
  <x:conditionalFormatting sqref="N6:N7">
    <x:cfRule type="cellIs" dxfId="0" priority="1" operator="lessThan">
      <x:formula>0.55</x:formula>
    </x:cfRule>
    <x:cfRule type="cellIs" dxfId="1" priority="2" operator="greaterThanOrEqual">
      <x:formula>0.55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20" hidden="0" customWidth="1"/>
    <x:col min="3" max="3" width="20" hidden="0" customWidth="1"/>
    <x:col min="4" max="4" width="20" hidden="0" customWidth="1"/>
    <x:col min="5" max="5" width="24" hidden="0" customWidth="1"/>
    <x:col min="6" max="6" width="58" hidden="0" customWidth="1"/>
  </x:cols>
  <x:sheetData>
    <x:row r="1" ht="32" customHeight="1">
      <x:c r="A1" s="137" t="str">
        <x:v>Tier Entitlements &amp; Action Caps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  <x:c r="V1" s="138"/>
      <x:c r="W1" s="138"/>
      <x:c r="X1" s="138"/>
      <x:c r="Y1" s="138"/>
      <x:c r="Z1" s="138"/>
    </x:row>
    <x:row r="2" ht="30" customHeight="1">
      <x:c r="A2" s="139" t="str">
        <x:v>One shared workspace credit balance, with action-specific counters and safety limits. Purchased credits add spending power but do not bypass hard caps.</x:v>
      </x:c>
      <x:c r="B2" s="138"/>
      <x:c r="C2" s="138"/>
      <x:c r="D2" s="138"/>
      <x:c r="E2" s="138"/>
      <x:c r="F2" s="138"/>
      <x:c r="G2" s="138"/>
      <x:c r="H2" s="138"/>
      <x:c r="I2" s="138"/>
      <x:c r="J2" s="138"/>
      <x:c r="K2" s="138"/>
      <x:c r="L2" s="138"/>
      <x:c r="M2" s="138"/>
      <x:c r="N2" s="138"/>
      <x:c r="O2" s="138"/>
      <x:c r="P2" s="138"/>
      <x:c r="Q2" s="138"/>
      <x:c r="R2" s="138"/>
      <x:c r="S2" s="138"/>
      <x:c r="T2" s="138"/>
      <x:c r="U2" s="138"/>
      <x:c r="V2" s="138"/>
      <x:c r="W2" s="138"/>
      <x:c r="X2" s="138"/>
      <x:c r="Y2" s="138"/>
      <x:c r="Z2" s="138"/>
    </x:row>
    <x:row r="3">
      <x:c r="A3" s="138"/>
      <x:c r="B3" s="138"/>
      <x:c r="C3" s="138"/>
      <x:c r="D3" s="138"/>
      <x:c r="E3" s="138"/>
      <x:c r="F3" s="138"/>
      <x:c r="G3" s="138"/>
      <x:c r="H3" s="138"/>
      <x:c r="I3" s="138"/>
      <x:c r="J3" s="138"/>
      <x:c r="K3" s="138"/>
      <x:c r="L3" s="138"/>
      <x:c r="M3" s="138"/>
      <x:c r="N3" s="138"/>
      <x:c r="O3" s="138"/>
      <x:c r="P3" s="138"/>
      <x:c r="Q3" s="138"/>
      <x:c r="R3" s="138"/>
      <x:c r="S3" s="138"/>
      <x:c r="T3" s="138"/>
      <x:c r="U3" s="138"/>
      <x:c r="V3" s="138"/>
      <x:c r="W3" s="138"/>
      <x:c r="X3" s="138"/>
      <x:c r="Y3" s="138"/>
      <x:c r="Z3" s="138"/>
    </x:row>
    <x:row r="4">
      <x:c r="A4" s="141" t="str">
        <x:v>Entitlement / action</x:v>
      </x:c>
      <x:c r="B4" s="142" t="str">
        <x:v>Free</x:v>
      </x:c>
      <x:c r="C4" s="142" t="str">
        <x:v>Starter</x:v>
      </x:c>
      <x:c r="D4" s="142" t="str">
        <x:v>Growth</x:v>
      </x:c>
      <x:c r="E4" s="142" t="str">
        <x:v>Unit / period</x:v>
      </x:c>
      <x:c r="F4" s="143" t="str">
        <x:v>Product rule</x:v>
      </x:c>
      <x:c r="G4" s="138"/>
      <x:c r="H4" s="138"/>
      <x:c r="I4" s="138"/>
      <x:c r="J4" s="138"/>
      <x:c r="K4" s="138"/>
      <x:c r="L4" s="138"/>
      <x:c r="M4" s="138"/>
      <x:c r="N4" s="138"/>
      <x:c r="O4" s="138"/>
      <x:c r="P4" s="138"/>
      <x:c r="Q4" s="138"/>
      <x:c r="R4" s="138"/>
      <x:c r="S4" s="138"/>
      <x:c r="T4" s="138"/>
      <x:c r="U4" s="138"/>
      <x:c r="V4" s="138"/>
      <x:c r="W4" s="138"/>
      <x:c r="X4" s="138"/>
      <x:c r="Y4" s="138"/>
      <x:c r="Z4" s="138"/>
    </x:row>
    <x:row r="5">
      <x:c r="A5" s="144" t="str">
        <x:v>Price</x:v>
      </x:c>
      <x:c r="B5" s="189" t="str">
        <x:v>$0</x:v>
      </x:c>
      <x:c r="C5" s="189" t="str">
        <x:v>$149</x:v>
      </x:c>
      <x:c r="D5" s="189" t="str">
        <x:v>$799</x:v>
      </x:c>
      <x:c r="E5" s="151" t="str">
        <x:v>workspace / month</x:v>
      </x:c>
      <x:c r="F5" s="146" t="str">
        <x:v>One fixed price for the whole workspace.</x:v>
      </x:c>
      <x:c r="G5" s="138"/>
      <x:c r="H5" s="138"/>
      <x:c r="I5" s="138"/>
      <x:c r="J5" s="138"/>
      <x:c r="K5" s="138"/>
      <x:c r="L5" s="138"/>
      <x:c r="M5" s="138"/>
      <x:c r="N5" s="138"/>
      <x:c r="O5" s="138"/>
      <x:c r="P5" s="138"/>
      <x:c r="Q5" s="138"/>
      <x:c r="R5" s="138"/>
      <x:c r="S5" s="138"/>
      <x:c r="T5" s="138"/>
      <x:c r="U5" s="138"/>
      <x:c r="V5" s="138"/>
      <x:c r="W5" s="138"/>
      <x:c r="X5" s="138"/>
      <x:c r="Y5" s="138"/>
      <x:c r="Z5" s="138"/>
    </x:row>
    <x:row r="6">
      <x:c r="A6" s="152" t="str">
        <x:v>Workspace users</x:v>
      </x:c>
      <x:c r="B6" s="190" t="str">
        <x:v>1</x:v>
      </x:c>
      <x:c r="C6" s="190" t="str">
        <x:v>Unlimited</x:v>
      </x:c>
      <x:c r="D6" s="190" t="str">
        <x:v>Unlimited</x:v>
      </x:c>
      <x:c r="E6" s="154" t="str">
        <x:v>users</x:v>
      </x:c>
      <x:c r="F6" s="155" t="str">
        <x:v>Credits and limits are shared by the whole workspace.</x:v>
      </x:c>
      <x:c r="G6" s="138"/>
      <x:c r="H6" s="138"/>
      <x:c r="I6" s="138"/>
      <x:c r="J6" s="138"/>
      <x:c r="K6" s="138"/>
      <x:c r="L6" s="138"/>
      <x:c r="M6" s="138"/>
      <x:c r="N6" s="138"/>
      <x:c r="O6" s="138"/>
      <x:c r="P6" s="138"/>
      <x:c r="Q6" s="138"/>
      <x:c r="R6" s="138"/>
      <x:c r="S6" s="138"/>
      <x:c r="T6" s="138"/>
      <x:c r="U6" s="138"/>
      <x:c r="V6" s="138"/>
      <x:c r="W6" s="138"/>
      <x:c r="X6" s="138"/>
      <x:c r="Y6" s="138"/>
      <x:c r="Z6" s="138"/>
    </x:row>
    <x:row r="7">
      <x:c r="A7" s="152" t="str">
        <x:v>Included credits — monthly billing</x:v>
      </x:c>
      <x:c r="B7" s="190" t="str">
        <x:v>100</x:v>
      </x:c>
      <x:c r="C7" s="190" t="str">
        <x:v>2,000</x:v>
      </x:c>
      <x:c r="D7" s="190" t="str">
        <x:v>8,000</x:v>
      </x:c>
      <x:c r="E7" s="154" t="str">
        <x:v>credits / month</x:v>
      </x:c>
      <x:c r="F7" s="155" t="str">
        <x:v>Reset at billing renewal and do not roll over.</x:v>
      </x:c>
      <x:c r="G7" s="138"/>
      <x:c r="H7" s="138"/>
      <x:c r="I7" s="138"/>
      <x:c r="J7" s="138"/>
      <x:c r="K7" s="138"/>
      <x:c r="L7" s="138"/>
      <x:c r="M7" s="138"/>
      <x:c r="N7" s="138"/>
      <x:c r="O7" s="138"/>
      <x:c r="P7" s="138"/>
      <x:c r="Q7" s="138"/>
      <x:c r="R7" s="138"/>
      <x:c r="S7" s="138"/>
      <x:c r="T7" s="138"/>
      <x:c r="U7" s="138"/>
      <x:c r="V7" s="138"/>
      <x:c r="W7" s="138"/>
      <x:c r="X7" s="138"/>
      <x:c r="Y7" s="138"/>
      <x:c r="Z7" s="138"/>
    </x:row>
    <x:row r="8">
      <x:c r="A8" s="152" t="str">
        <x:v>Included credits — annual billing</x:v>
      </x:c>
      <x:c r="B8" s="190" t="str">
        <x:v>1,200 upfront</x:v>
      </x:c>
      <x:c r="C8" s="190" t="str">
        <x:v>24,000 upfront</x:v>
      </x:c>
      <x:c r="D8" s="190" t="str">
        <x:v>96,000 upfront</x:v>
      </x:c>
      <x:c r="E8" s="154" t="str">
        <x:v>credits / annual term</x:v>
      </x:c>
      <x:c r="F8" s="155" t="str">
        <x:v>Available immediately; expire at annual renewal/end of term.</x:v>
      </x:c>
      <x:c r="G8" s="138"/>
      <x:c r="H8" s="138"/>
      <x:c r="I8" s="138"/>
      <x:c r="J8" s="138"/>
      <x:c r="K8" s="138"/>
      <x:c r="L8" s="138"/>
      <x:c r="M8" s="138"/>
      <x:c r="N8" s="138"/>
      <x:c r="O8" s="138"/>
      <x:c r="P8" s="138"/>
      <x:c r="Q8" s="138"/>
      <x:c r="R8" s="138"/>
      <x:c r="S8" s="138"/>
      <x:c r="T8" s="138"/>
      <x:c r="U8" s="138"/>
      <x:c r="V8" s="138"/>
      <x:c r="W8" s="138"/>
      <x:c r="X8" s="138"/>
      <x:c r="Y8" s="138"/>
      <x:c r="Z8" s="138"/>
    </x:row>
    <x:row r="9">
      <x:c r="A9" s="152" t="str">
        <x:v>Purchased-credit price</x:v>
      </x:c>
      <x:c r="B9" s="190" t="str">
        <x:v>Not available initially</x:v>
      </x:c>
      <x:c r="C9" s="190" t="str">
        <x:v>$100 / 1,000</x:v>
      </x:c>
      <x:c r="D9" s="190" t="str">
        <x:v>$70 / 1,000</x:v>
      </x:c>
      <x:c r="E9" s="154" t="str">
        <x:v>USD</x:v>
      </x:c>
      <x:c r="F9" s="155" t="str">
        <x:v>Purchased credits expire 12 months after purchase.</x:v>
      </x:c>
      <x:c r="G9" s="138"/>
      <x:c r="H9" s="138"/>
      <x:c r="I9" s="138"/>
      <x:c r="J9" s="138"/>
      <x:c r="K9" s="138"/>
      <x:c r="L9" s="138"/>
      <x:c r="M9" s="138"/>
      <x:c r="N9" s="138"/>
      <x:c r="O9" s="138"/>
      <x:c r="P9" s="138"/>
      <x:c r="Q9" s="138"/>
      <x:c r="R9" s="138"/>
      <x:c r="S9" s="138"/>
      <x:c r="T9" s="138"/>
      <x:c r="U9" s="138"/>
      <x:c r="V9" s="138"/>
      <x:c r="W9" s="138"/>
      <x:c r="X9" s="138"/>
      <x:c r="Y9" s="138"/>
      <x:c r="Z9" s="138"/>
    </x:row>
    <x:row r="10">
      <x:c r="A10" s="152" t="str">
        <x:v>Credit spending order</x:v>
      </x:c>
      <x:c r="B10" s="190" t="str">
        <x:v>Earliest expiry</x:v>
      </x:c>
      <x:c r="C10" s="190" t="str">
        <x:v>Earliest expiry</x:v>
      </x:c>
      <x:c r="D10" s="190" t="str">
        <x:v>Earliest expiry</x:v>
      </x:c>
      <x:c r="E10" s="154" t="str">
        <x:v>ledger rule</x:v>
      </x:c>
      <x:c r="F10" s="155" t="str">
        <x:v>Use the bucket expiring soonest; display balances separately.</x:v>
      </x:c>
      <x:c r="G10" s="138"/>
      <x:c r="H10" s="138"/>
      <x:c r="I10" s="138"/>
      <x:c r="J10" s="138"/>
      <x:c r="K10" s="138"/>
      <x:c r="L10" s="138"/>
      <x:c r="M10" s="138"/>
      <x:c r="N10" s="138"/>
      <x:c r="O10" s="138"/>
      <x:c r="P10" s="138"/>
      <x:c r="Q10" s="138"/>
      <x:c r="R10" s="138"/>
      <x:c r="S10" s="138"/>
      <x:c r="T10" s="138"/>
      <x:c r="U10" s="138"/>
      <x:c r="V10" s="138"/>
      <x:c r="W10" s="138"/>
      <x:c r="X10" s="138"/>
      <x:c r="Y10" s="138"/>
      <x:c r="Z10" s="138"/>
    </x:row>
    <x:row r="11">
      <x:c r="A11" s="152" t="str">
        <x:v>Raw CRM / CSV import</x:v>
      </x:c>
      <x:c r="B11" s="190" t="str">
        <x:v>Full import</x:v>
      </x:c>
      <x:c r="C11" s="190" t="str">
        <x:v>Full import</x:v>
      </x:c>
      <x:c r="D11" s="190" t="str">
        <x:v>Full import</x:v>
      </x:c>
      <x:c r="E11" s="154" t="str">
        <x:v>records</x:v>
      </x:c>
      <x:c r="F11" s="155" t="str">
        <x:v>Storage and deduplication are free; import does not automatically enrich.</x:v>
      </x:c>
      <x:c r="G11" s="138"/>
      <x:c r="H11" s="138"/>
      <x:c r="I11" s="138"/>
      <x:c r="J11" s="138"/>
      <x:c r="K11" s="138"/>
      <x:c r="L11" s="138"/>
      <x:c r="M11" s="138"/>
      <x:c r="N11" s="138"/>
      <x:c r="O11" s="138"/>
      <x:c r="P11" s="138"/>
      <x:c r="Q11" s="138"/>
      <x:c r="R11" s="138"/>
      <x:c r="S11" s="138"/>
      <x:c r="T11" s="138"/>
      <x:c r="U11" s="138"/>
      <x:c r="V11" s="138"/>
      <x:c r="W11" s="138"/>
      <x:c r="X11" s="138"/>
      <x:c r="Y11" s="138"/>
      <x:c r="Z11" s="138"/>
    </x:row>
    <x:row r="12">
      <x:c r="A12" s="152" t="str">
        <x:v>New imported records triaged</x:v>
      </x:c>
      <x:c r="B12" s="190" t="str">
        <x:v>500</x:v>
      </x:c>
      <x:c r="C12" s="190" t="str">
        <x:v>10,000</x:v>
      </x:c>
      <x:c r="D12" s="190" t="str">
        <x:v>50,000</x:v>
      </x:c>
      <x:c r="E12" s="154" t="str">
        <x:v>records / month</x:v>
      </x:c>
      <x:c r="F12" s="155" t="str">
        <x:v>All imports in the billing month count cumulatively.</x:v>
      </x:c>
      <x:c r="G12" s="138"/>
      <x:c r="H12" s="138"/>
      <x:c r="I12" s="138"/>
      <x:c r="J12" s="138"/>
      <x:c r="K12" s="138"/>
      <x:c r="L12" s="138"/>
      <x:c r="M12" s="138"/>
      <x:c r="N12" s="138"/>
      <x:c r="O12" s="138"/>
      <x:c r="P12" s="138"/>
      <x:c r="Q12" s="138"/>
      <x:c r="R12" s="138"/>
      <x:c r="S12" s="138"/>
      <x:c r="T12" s="138"/>
      <x:c r="U12" s="138"/>
      <x:c r="V12" s="138"/>
      <x:c r="W12" s="138"/>
      <x:c r="X12" s="138"/>
      <x:c r="Y12" s="138"/>
      <x:c r="Z12" s="138"/>
    </x:row>
    <x:row r="13">
      <x:c r="A13" s="152" t="str">
        <x:v>Triage overflow</x:v>
      </x:c>
      <x:c r="B13" s="190" t="str">
        <x:v>0.1</x:v>
      </x:c>
      <x:c r="C13" s="190" t="str">
        <x:v>0.1</x:v>
      </x:c>
      <x:c r="D13" s="190" t="str">
        <x:v>0.1</x:v>
      </x:c>
      <x:c r="E13" s="154" t="str">
        <x:v>credit / record</x:v>
      </x:c>
      <x:c r="F13" s="155" t="str">
        <x:v>Applies after the monthly allowance.</x:v>
      </x:c>
      <x:c r="G13" s="138"/>
      <x:c r="H13" s="138"/>
      <x:c r="I13" s="138"/>
      <x:c r="J13" s="138"/>
      <x:c r="K13" s="138"/>
      <x:c r="L13" s="138"/>
      <x:c r="M13" s="138"/>
      <x:c r="N13" s="138"/>
      <x:c r="O13" s="138"/>
      <x:c r="P13" s="138"/>
      <x:c r="Q13" s="138"/>
      <x:c r="R13" s="138"/>
      <x:c r="S13" s="138"/>
      <x:c r="T13" s="138"/>
      <x:c r="U13" s="138"/>
      <x:c r="V13" s="138"/>
      <x:c r="W13" s="138"/>
      <x:c r="X13" s="138"/>
      <x:c r="Y13" s="138"/>
      <x:c r="Z13" s="138"/>
    </x:row>
    <x:row r="14">
      <x:c r="A14" s="152" t="str">
        <x:v>ICP added or changed</x:v>
      </x:c>
      <x:c r="B14" s="190" t="str">
        <x:v>Free</x:v>
      </x:c>
      <x:c r="C14" s="190" t="str">
        <x:v>Free</x:v>
      </x:c>
      <x:c r="D14" s="190" t="str">
        <x:v>Free</x:v>
      </x:c>
      <x:c r="E14" s="154" t="str">
        <x:v>event</x:v>
      </x:c>
      <x:c r="F14" s="155" t="str">
        <x:v>Re-triage non-enriched data; rescore enriched data from cached attributes.</x:v>
      </x:c>
      <x:c r="G14" s="138"/>
      <x:c r="H14" s="138"/>
      <x:c r="I14" s="138"/>
      <x:c r="J14" s="138"/>
      <x:c r="K14" s="138"/>
      <x:c r="L14" s="138"/>
      <x:c r="M14" s="138"/>
      <x:c r="N14" s="138"/>
      <x:c r="O14" s="138"/>
      <x:c r="P14" s="138"/>
      <x:c r="Q14" s="138"/>
      <x:c r="R14" s="138"/>
      <x:c r="S14" s="138"/>
      <x:c r="T14" s="138"/>
      <x:c r="U14" s="138"/>
      <x:c r="V14" s="138"/>
      <x:c r="W14" s="138"/>
      <x:c r="X14" s="138"/>
      <x:c r="Y14" s="138"/>
      <x:c r="Z14" s="138"/>
    </x:row>
    <x:row r="15">
      <x:c r="A15" s="152" t="str">
        <x:v>Imported lead enrichment</x:v>
      </x:c>
      <x:c r="B15" s="190" t="str">
        <x:v>4</x:v>
      </x:c>
      <x:c r="C15" s="190" t="str">
        <x:v>4</x:v>
      </x:c>
      <x:c r="D15" s="190" t="str">
        <x:v>4</x:v>
      </x:c>
      <x:c r="E15" s="154" t="str">
        <x:v>credits / lead</x:v>
      </x:c>
      <x:c r="F15" s="155" t="str">
        <x:v>Contact + company lead; fresh cache hits and duplicates are free.</x:v>
      </x:c>
      <x:c r="G15" s="138"/>
      <x:c r="H15" s="138"/>
      <x:c r="I15" s="138"/>
      <x:c r="J15" s="138"/>
      <x:c r="K15" s="138"/>
      <x:c r="L15" s="138"/>
      <x:c r="M15" s="138"/>
      <x:c r="N15" s="138"/>
      <x:c r="O15" s="138"/>
      <x:c r="P15" s="138"/>
      <x:c r="Q15" s="138"/>
      <x:c r="R15" s="138"/>
      <x:c r="S15" s="138"/>
      <x:c r="T15" s="138"/>
      <x:c r="U15" s="138"/>
      <x:c r="V15" s="138"/>
      <x:c r="W15" s="138"/>
      <x:c r="X15" s="138"/>
      <x:c r="Y15" s="138"/>
      <x:c r="Z15" s="138"/>
    </x:row>
    <x:row r="16">
      <x:c r="A16" s="152" t="str">
        <x:v>Imported enrichments from included allowance</x:v>
      </x:c>
      <x:c r="B16" s="190" t="str">
        <x:v>25</x:v>
      </x:c>
      <x:c r="C16" s="190" t="str">
        <x:v>300</x:v>
      </x:c>
      <x:c r="D16" s="190" t="str">
        <x:v>1,400</x:v>
      </x:c>
      <x:c r="E16" s="154" t="str">
        <x:v>leads / month</x:v>
      </x:c>
      <x:c r="F16" s="155" t="str">
        <x:v>Preserves shared credits for other Arcova actions.</x:v>
      </x:c>
      <x:c r="G16" s="138"/>
      <x:c r="H16" s="138"/>
      <x:c r="I16" s="138"/>
      <x:c r="J16" s="138"/>
      <x:c r="K16" s="138"/>
      <x:c r="L16" s="138"/>
      <x:c r="M16" s="138"/>
      <x:c r="N16" s="138"/>
      <x:c r="O16" s="138"/>
      <x:c r="P16" s="138"/>
      <x:c r="Q16" s="138"/>
      <x:c r="R16" s="138"/>
      <x:c r="S16" s="138"/>
      <x:c r="T16" s="138"/>
      <x:c r="U16" s="138"/>
      <x:c r="V16" s="138"/>
      <x:c r="W16" s="138"/>
      <x:c r="X16" s="138"/>
      <x:c r="Y16" s="138"/>
      <x:c r="Z16" s="138"/>
    </x:row>
    <x:row r="17">
      <x:c r="A17" s="191" t="str">
        <x:v>Imported enrichment hard cap</x:v>
      </x:c>
      <x:c r="B17" s="192" t="str">
        <x:v>25</x:v>
      </x:c>
      <x:c r="C17" s="192" t="str">
        <x:v>500</x:v>
      </x:c>
      <x:c r="D17" s="192" t="str">
        <x:v>5,000</x:v>
      </x:c>
      <x:c r="E17" s="193" t="str">
        <x:v>leads / month</x:v>
      </x:c>
      <x:c r="F17" s="194" t="str">
        <x:v>Purchased credits can lift paid plans to this cap, not beyond it.</x:v>
      </x:c>
      <x:c r="G17" s="138"/>
      <x:c r="H17" s="138"/>
      <x:c r="I17" s="138"/>
      <x:c r="J17" s="138"/>
      <x:c r="K17" s="138"/>
      <x:c r="L17" s="138"/>
      <x:c r="M17" s="138"/>
      <x:c r="N17" s="138"/>
      <x:c r="O17" s="138"/>
      <x:c r="P17" s="138"/>
      <x:c r="Q17" s="138"/>
      <x:c r="R17" s="138"/>
      <x:c r="S17" s="138"/>
      <x:c r="T17" s="138"/>
      <x:c r="U17" s="138"/>
      <x:c r="V17" s="138"/>
      <x:c r="W17" s="138"/>
      <x:c r="X17" s="138"/>
      <x:c r="Y17" s="138"/>
      <x:c r="Z17" s="138"/>
    </x:row>
    <x:row r="18">
      <x:c r="A18" s="191" t="str">
        <x:v>Active lead cap</x:v>
      </x:c>
      <x:c r="B18" s="192" t="str">
        <x:v>100</x:v>
      </x:c>
      <x:c r="C18" s="192" t="str">
        <x:v>5,000</x:v>
      </x:c>
      <x:c r="D18" s="192" t="str">
        <x:v>10,000</x:v>
      </x:c>
      <x:c r="E18" s="193" t="str">
        <x:v>high-fit enriched leads</x:v>
      </x:c>
      <x:c r="F18" s="194" t="str">
        <x:v>All active leads are monitored automatically; no manual lead selection.</x:v>
      </x:c>
      <x:c r="G18" s="138"/>
      <x:c r="H18" s="138"/>
      <x:c r="I18" s="138"/>
      <x:c r="J18" s="138"/>
      <x:c r="K18" s="138"/>
      <x:c r="L18" s="138"/>
      <x:c r="M18" s="138"/>
      <x:c r="N18" s="138"/>
      <x:c r="O18" s="138"/>
      <x:c r="P18" s="138"/>
      <x:c r="Q18" s="138"/>
      <x:c r="R18" s="138"/>
      <x:c r="S18" s="138"/>
      <x:c r="T18" s="138"/>
      <x:c r="U18" s="138"/>
      <x:c r="V18" s="138"/>
      <x:c r="W18" s="138"/>
      <x:c r="X18" s="138"/>
      <x:c r="Y18" s="138"/>
      <x:c r="Z18" s="138"/>
    </x:row>
    <x:row r="19">
      <x:c r="A19" s="152" t="str">
        <x:v>Monitoring cadence</x:v>
      </x:c>
      <x:c r="B19" s="190" t="str">
        <x:v>Monthly</x:v>
      </x:c>
      <x:c r="C19" s="190" t="str">
        <x:v>Monthly</x:v>
      </x:c>
      <x:c r="D19" s="190" t="str">
        <x:v>Weekly</x:v>
      </x:c>
      <x:c r="E19" s="154" t="str">
        <x:v>all active leads</x:v>
      </x:c>
      <x:c r="F19" s="155" t="str">
        <x:v>Scheduled monitoring consumes no user-visible credits.</x:v>
      </x:c>
      <x:c r="G19" s="138"/>
      <x:c r="H19" s="138"/>
      <x:c r="I19" s="138"/>
      <x:c r="J19" s="138"/>
      <x:c r="K19" s="138"/>
      <x:c r="L19" s="138"/>
      <x:c r="M19" s="138"/>
      <x:c r="N19" s="138"/>
      <x:c r="O19" s="138"/>
      <x:c r="P19" s="138"/>
      <x:c r="Q19" s="138"/>
      <x:c r="R19" s="138"/>
      <x:c r="S19" s="138"/>
      <x:c r="T19" s="138"/>
      <x:c r="U19" s="138"/>
      <x:c r="V19" s="138"/>
      <x:c r="W19" s="138"/>
      <x:c r="X19" s="138"/>
      <x:c r="Y19" s="138"/>
      <x:c r="Z19" s="138"/>
    </x:row>
    <x:row r="20">
      <x:c r="A20" s="152" t="str">
        <x:v>Job-change knock-on refresh</x:v>
      </x:c>
      <x:c r="B20" s="190" t="str">
        <x:v>Included</x:v>
      </x:c>
      <x:c r="C20" s="190" t="str">
        <x:v>Included</x:v>
      </x:c>
      <x:c r="D20" s="190" t="str">
        <x:v>Included</x:v>
      </x:c>
      <x:c r="E20" s="154" t="str">
        <x:v>confirmed change</x:v>
      </x:c>
      <x:c r="F20" s="155" t="str">
        <x:v>Maintenance of an active lead; internally metered as COGS.</x:v>
      </x:c>
      <x:c r="G20" s="138"/>
      <x:c r="H20" s="138"/>
      <x:c r="I20" s="138"/>
      <x:c r="J20" s="138"/>
      <x:c r="K20" s="138"/>
      <x:c r="L20" s="138"/>
      <x:c r="M20" s="138"/>
      <x:c r="N20" s="138"/>
      <x:c r="O20" s="138"/>
      <x:c r="P20" s="138"/>
      <x:c r="Q20" s="138"/>
      <x:c r="R20" s="138"/>
      <x:c r="S20" s="138"/>
      <x:c r="T20" s="138"/>
      <x:c r="U20" s="138"/>
      <x:c r="V20" s="138"/>
      <x:c r="W20" s="138"/>
      <x:c r="X20" s="138"/>
      <x:c r="Y20" s="138"/>
      <x:c r="Z20" s="138"/>
    </x:row>
    <x:row r="21">
      <x:c r="A21" s="152" t="str">
        <x:v>Data search and preview</x:v>
      </x:c>
      <x:c r="B21" s="190" t="str">
        <x:v>Free</x:v>
      </x:c>
      <x:c r="C21" s="190" t="str">
        <x:v>Free</x:v>
      </x:c>
      <x:c r="D21" s="190" t="str">
        <x:v>Free</x:v>
      </x:c>
      <x:c r="E21" s="154" t="str">
        <x:v>search</x:v>
      </x:c>
      <x:c r="F21" s="155" t="str">
        <x:v>Charge only for successfully delivered net-new leads.</x:v>
      </x:c>
      <x:c r="G21" s="138"/>
      <x:c r="H21" s="138"/>
      <x:c r="I21" s="138"/>
      <x:c r="J21" s="138"/>
      <x:c r="K21" s="138"/>
      <x:c r="L21" s="138"/>
      <x:c r="M21" s="138"/>
      <x:c r="N21" s="138"/>
      <x:c r="O21" s="138"/>
      <x:c r="P21" s="138"/>
      <x:c r="Q21" s="138"/>
      <x:c r="R21" s="138"/>
      <x:c r="S21" s="138"/>
      <x:c r="T21" s="138"/>
      <x:c r="U21" s="138"/>
      <x:c r="V21" s="138"/>
      <x:c r="W21" s="138"/>
      <x:c r="X21" s="138"/>
      <x:c r="Y21" s="138"/>
      <x:c r="Z21" s="138"/>
    </x:row>
    <x:row r="22">
      <x:c r="A22" s="152" t="str">
        <x:v>Net-new enriched lead</x:v>
      </x:c>
      <x:c r="B22" s="190" t="str">
        <x:v>4</x:v>
      </x:c>
      <x:c r="C22" s="190" t="str">
        <x:v>4</x:v>
      </x:c>
      <x:c r="D22" s="190" t="str">
        <x:v>4</x:v>
      </x:c>
      <x:c r="E22" s="154" t="str">
        <x:v>credits / lead</x:v>
      </x:c>
      <x:c r="F22" s="155" t="str">
        <x:v>Apollo/Apify/validation bundle with cache preflight.</x:v>
      </x:c>
      <x:c r="G22" s="138"/>
      <x:c r="H22" s="138"/>
      <x:c r="I22" s="138"/>
      <x:c r="J22" s="138"/>
      <x:c r="K22" s="138"/>
      <x:c r="L22" s="138"/>
      <x:c r="M22" s="138"/>
      <x:c r="N22" s="138"/>
      <x:c r="O22" s="138"/>
      <x:c r="P22" s="138"/>
      <x:c r="Q22" s="138"/>
      <x:c r="R22" s="138"/>
      <x:c r="S22" s="138"/>
      <x:c r="T22" s="138"/>
      <x:c r="U22" s="138"/>
      <x:c r="V22" s="138"/>
      <x:c r="W22" s="138"/>
      <x:c r="X22" s="138"/>
      <x:c r="Y22" s="138"/>
      <x:c r="Z22" s="138"/>
    </x:row>
    <x:row r="23">
      <x:c r="A23" s="152" t="str">
        <x:v>Net-new delivered-lead cap</x:v>
      </x:c>
      <x:c r="B23" s="190" t="str">
        <x:v>10</x:v>
      </x:c>
      <x:c r="C23" s="190" t="str">
        <x:v>2,500</x:v>
      </x:c>
      <x:c r="D23" s="190" t="str">
        <x:v>10,000</x:v>
      </x:c>
      <x:c r="E23" s="154" t="str">
        <x:v>leads / month</x:v>
      </x:c>
      <x:c r="F23" s="155" t="str">
        <x:v>Initial operational/provider-throughput guardrail; review with usage data.</x:v>
      </x:c>
      <x:c r="G23" s="138"/>
      <x:c r="H23" s="138"/>
      <x:c r="I23" s="138"/>
      <x:c r="J23" s="138"/>
      <x:c r="K23" s="138"/>
      <x:c r="L23" s="138"/>
      <x:c r="M23" s="138"/>
      <x:c r="N23" s="138"/>
      <x:c r="O23" s="138"/>
      <x:c r="P23" s="138"/>
      <x:c r="Q23" s="138"/>
      <x:c r="R23" s="138"/>
      <x:c r="S23" s="138"/>
      <x:c r="T23" s="138"/>
      <x:c r="U23" s="138"/>
      <x:c r="V23" s="138"/>
      <x:c r="W23" s="138"/>
      <x:c r="X23" s="138"/>
      <x:c r="Y23" s="138"/>
      <x:c r="Z23" s="138"/>
    </x:row>
    <x:row r="24">
      <x:c r="A24" s="152" t="str">
        <x:v>Email validation</x:v>
      </x:c>
      <x:c r="B24" s="190" t="str">
        <x:v>0.5</x:v>
      </x:c>
      <x:c r="C24" s="190" t="str">
        <x:v>0.5</x:v>
      </x:c>
      <x:c r="D24" s="190" t="str">
        <x:v>0.5</x:v>
      </x:c>
      <x:c r="E24" s="154" t="str">
        <x:v>credit / billable validation</x:v>
      </x:c>
      <x:c r="F24" s="155" t="str">
        <x:v>Unknown ZeroBounce results are not charged.</x:v>
      </x:c>
      <x:c r="G24" s="138"/>
      <x:c r="H24" s="138"/>
      <x:c r="I24" s="138"/>
      <x:c r="J24" s="138"/>
      <x:c r="K24" s="138"/>
      <x:c r="L24" s="138"/>
      <x:c r="M24" s="138"/>
      <x:c r="N24" s="138"/>
      <x:c r="O24" s="138"/>
      <x:c r="P24" s="138"/>
      <x:c r="Q24" s="138"/>
      <x:c r="R24" s="138"/>
      <x:c r="S24" s="138"/>
      <x:c r="T24" s="138"/>
      <x:c r="U24" s="138"/>
      <x:c r="V24" s="138"/>
      <x:c r="W24" s="138"/>
      <x:c r="X24" s="138"/>
      <x:c r="Y24" s="138"/>
      <x:c r="Z24" s="138"/>
    </x:row>
    <x:row r="25">
      <x:c r="A25" s="152" t="str">
        <x:v>Find new email</x:v>
      </x:c>
      <x:c r="B25" s="190" t="str">
        <x:v>11</x:v>
      </x:c>
      <x:c r="C25" s="190" t="str">
        <x:v>11</x:v>
      </x:c>
      <x:c r="D25" s="190" t="str">
        <x:v>11</x:v>
      </x:c>
      <x:c r="E25" s="154" t="str">
        <x:v>credits / successful find</x:v>
      </x:c>
      <x:c r="F25" s="155" t="str">
        <x:v>Finder plus validation; refund unsuccessful provider result.</x:v>
      </x:c>
      <x:c r="G25" s="138"/>
      <x:c r="H25" s="138"/>
      <x:c r="I25" s="138"/>
      <x:c r="J25" s="138"/>
      <x:c r="K25" s="138"/>
      <x:c r="L25" s="138"/>
      <x:c r="M25" s="138"/>
      <x:c r="N25" s="138"/>
      <x:c r="O25" s="138"/>
      <x:c r="P25" s="138"/>
      <x:c r="Q25" s="138"/>
      <x:c r="R25" s="138"/>
      <x:c r="S25" s="138"/>
      <x:c r="T25" s="138"/>
      <x:c r="U25" s="138"/>
      <x:c r="V25" s="138"/>
      <x:c r="W25" s="138"/>
      <x:c r="X25" s="138"/>
      <x:c r="Y25" s="138"/>
      <x:c r="Z25" s="138"/>
    </x:row>
    <x:row r="26">
      <x:c r="A26" s="152" t="str">
        <x:v>Email-finder safety cap</x:v>
      </x:c>
      <x:c r="B26" s="190" t="str">
        <x:v>2</x:v>
      </x:c>
      <x:c r="C26" s="190" t="str">
        <x:v>50</x:v>
      </x:c>
      <x:c r="D26" s="190" t="str">
        <x:v>200</x:v>
      </x:c>
      <x:c r="E26" s="154" t="str">
        <x:v>successful finds / day</x:v>
      </x:c>
      <x:c r="F26" s="155" t="str">
        <x:v>Workspace-level provider protection.</x:v>
      </x:c>
      <x:c r="G26" s="138"/>
      <x:c r="H26" s="138"/>
      <x:c r="I26" s="138"/>
      <x:c r="J26" s="138"/>
      <x:c r="K26" s="138"/>
      <x:c r="L26" s="138"/>
      <x:c r="M26" s="138"/>
      <x:c r="N26" s="138"/>
      <x:c r="O26" s="138"/>
      <x:c r="P26" s="138"/>
      <x:c r="Q26" s="138"/>
      <x:c r="R26" s="138"/>
      <x:c r="S26" s="138"/>
      <x:c r="T26" s="138"/>
      <x:c r="U26" s="138"/>
      <x:c r="V26" s="138"/>
      <x:c r="W26" s="138"/>
      <x:c r="X26" s="138"/>
      <x:c r="Y26" s="138"/>
      <x:c r="Z26" s="138"/>
    </x:row>
    <x:row r="27">
      <x:c r="A27" s="191" t="str">
        <x:v>Phone reveal</x:v>
      </x:c>
      <x:c r="B27" s="192" t="str">
        <x:v>20</x:v>
      </x:c>
      <x:c r="C27" s="192" t="str">
        <x:v>20</x:v>
      </x:c>
      <x:c r="D27" s="192" t="str">
        <x:v>20</x:v>
      </x:c>
      <x:c r="E27" s="193" t="str">
        <x:v>credits / request</x:v>
      </x:c>
      <x:c r="F27" s="194" t="str">
        <x:v>Explicit click only; never automatic.</x:v>
      </x:c>
      <x:c r="G27" s="138"/>
      <x:c r="H27" s="138"/>
      <x:c r="I27" s="138"/>
      <x:c r="J27" s="138"/>
      <x:c r="K27" s="138"/>
      <x:c r="L27" s="138"/>
      <x:c r="M27" s="138"/>
      <x:c r="N27" s="138"/>
      <x:c r="O27" s="138"/>
      <x:c r="P27" s="138"/>
      <x:c r="Q27" s="138"/>
      <x:c r="R27" s="138"/>
      <x:c r="S27" s="138"/>
      <x:c r="T27" s="138"/>
      <x:c r="U27" s="138"/>
      <x:c r="V27" s="138"/>
      <x:c r="W27" s="138"/>
      <x:c r="X27" s="138"/>
      <x:c r="Y27" s="138"/>
      <x:c r="Z27" s="138"/>
    </x:row>
    <x:row r="28">
      <x:c r="A28" s="191" t="str">
        <x:v>Phone-reveal safety cap</x:v>
      </x:c>
      <x:c r="B28" s="192" t="str">
        <x:v>2</x:v>
      </x:c>
      <x:c r="C28" s="192" t="str">
        <x:v>50</x:v>
      </x:c>
      <x:c r="D28" s="192" t="str">
        <x:v>200</x:v>
      </x:c>
      <x:c r="E28" s="193" t="str">
        <x:v>requests / day</x:v>
      </x:c>
      <x:c r="F28" s="194" t="str">
        <x:v>Workspace-level provider protection.</x:v>
      </x:c>
      <x:c r="G28" s="138"/>
      <x:c r="H28" s="138"/>
      <x:c r="I28" s="138"/>
      <x:c r="J28" s="138"/>
      <x:c r="K28" s="138"/>
      <x:c r="L28" s="138"/>
      <x:c r="M28" s="138"/>
      <x:c r="N28" s="138"/>
      <x:c r="O28" s="138"/>
      <x:c r="P28" s="138"/>
      <x:c r="Q28" s="138"/>
      <x:c r="R28" s="138"/>
      <x:c r="S28" s="138"/>
      <x:c r="T28" s="138"/>
      <x:c r="U28" s="138"/>
      <x:c r="V28" s="138"/>
      <x:c r="W28" s="138"/>
      <x:c r="X28" s="138"/>
      <x:c r="Y28" s="138"/>
      <x:c r="Z28" s="138"/>
    </x:row>
    <x:row r="29">
      <x:c r="A29" s="152" t="str">
        <x:v>Outreach sequence</x:v>
      </x:c>
      <x:c r="B29" s="190" t="str">
        <x:v>5</x:v>
      </x:c>
      <x:c r="C29" s="190" t="str">
        <x:v>5</x:v>
      </x:c>
      <x:c r="D29" s="190" t="str">
        <x:v>5</x:v>
      </x:c>
      <x:c r="E29" s="154" t="str">
        <x:v>credits / 7-touch sequence</x:v>
      </x:c>
      <x:c r="F29" s="155" t="str">
        <x:v>Generated and staged for Lemlist; Arcova does not send one-off emails.</x:v>
      </x:c>
      <x:c r="G29" s="138"/>
      <x:c r="H29" s="138"/>
      <x:c r="I29" s="138"/>
      <x:c r="J29" s="138"/>
      <x:c r="K29" s="138"/>
      <x:c r="L29" s="138"/>
      <x:c r="M29" s="138"/>
      <x:c r="N29" s="138"/>
      <x:c r="O29" s="138"/>
      <x:c r="P29" s="138"/>
      <x:c r="Q29" s="138"/>
      <x:c r="R29" s="138"/>
      <x:c r="S29" s="138"/>
      <x:c r="T29" s="138"/>
      <x:c r="U29" s="138"/>
      <x:c r="V29" s="138"/>
      <x:c r="W29" s="138"/>
      <x:c r="X29" s="138"/>
      <x:c r="Y29" s="138"/>
      <x:c r="Z29" s="138"/>
    </x:row>
    <x:row r="30">
      <x:c r="A30" s="152" t="str">
        <x:v>Sequence generation cap</x:v>
      </x:c>
      <x:c r="B30" s="190" t="str">
        <x:v>1</x:v>
      </x:c>
      <x:c r="C30" s="190" t="str">
        <x:v>3</x:v>
      </x:c>
      <x:c r="D30" s="190" t="str">
        <x:v>10</x:v>
      </x:c>
      <x:c r="E30" s="154" t="str">
        <x:v>sequences / rolling 24h</x:v>
      </x:c>
      <x:c r="F30" s="155" t="str">
        <x:v>No separate monthly cap; credits constrain total use.</x:v>
      </x:c>
      <x:c r="G30" s="138"/>
      <x:c r="H30" s="138"/>
      <x:c r="I30" s="138"/>
      <x:c r="J30" s="138"/>
      <x:c r="K30" s="138"/>
      <x:c r="L30" s="138"/>
      <x:c r="M30" s="138"/>
      <x:c r="N30" s="138"/>
      <x:c r="O30" s="138"/>
      <x:c r="P30" s="138"/>
      <x:c r="Q30" s="138"/>
      <x:c r="R30" s="138"/>
      <x:c r="S30" s="138"/>
      <x:c r="T30" s="138"/>
      <x:c r="U30" s="138"/>
      <x:c r="V30" s="138"/>
      <x:c r="W30" s="138"/>
      <x:c r="X30" s="138"/>
      <x:c r="Y30" s="138"/>
      <x:c r="Z30" s="138"/>
    </x:row>
    <x:row r="31">
      <x:c r="A31" s="147" t="str">
        <x:v>CSV export</x:v>
      </x:c>
      <x:c r="B31" s="195" t="str">
        <x:v>Full unlocked data</x:v>
      </x:c>
      <x:c r="C31" s="195" t="str">
        <x:v>Full unlocked data</x:v>
      </x:c>
      <x:c r="D31" s="195" t="str">
        <x:v>Full unlocked data</x:v>
      </x:c>
      <x:c r="E31" s="159" t="str">
        <x:v>export</x:v>
      </x:c>
      <x:c r="F31" s="149" t="str">
        <x:v>Customers own imported, enriched and purchased records.</x:v>
      </x:c>
      <x:c r="G31" s="138"/>
      <x:c r="H31" s="138"/>
      <x:c r="I31" s="138"/>
      <x:c r="J31" s="138"/>
      <x:c r="K31" s="138"/>
      <x:c r="L31" s="138"/>
      <x:c r="M31" s="138"/>
      <x:c r="N31" s="138"/>
      <x:c r="O31" s="138"/>
      <x:c r="P31" s="138"/>
      <x:c r="Q31" s="138"/>
      <x:c r="R31" s="138"/>
      <x:c r="S31" s="138"/>
      <x:c r="T31" s="138"/>
      <x:c r="U31" s="138"/>
      <x:c r="V31" s="138"/>
      <x:c r="W31" s="138"/>
      <x:c r="X31" s="138"/>
      <x:c r="Y31" s="138"/>
      <x:c r="Z31" s="138"/>
    </x:row>
    <x:row r="32">
      <x:c r="A32" s="138" t="str">
        <x:v>Active ICP cap</x:v>
      </x:c>
      <x:c r="B32" s="138" t="n">
        <x:v>1</x:v>
      </x:c>
      <x:c r="C32" s="138" t="n">
        <x:v>3</x:v>
      </x:c>
      <x:c r="D32" s="138" t="n">
        <x:v>10</x:v>
      </x:c>
      <x:c r="E32" s="138" t="str">
        <x:v>saved active ICPs</x:v>
      </x:c>
      <x:c r="F32" s="138" t="str">
        <x:v>Editing an existing ICP is free; creating another active ICP requires an available slot or a higher plan.</x:v>
      </x:c>
      <x:c r="G32" s="138"/>
      <x:c r="H32" s="138"/>
      <x:c r="I32" s="138"/>
      <x:c r="J32" s="138"/>
      <x:c r="K32" s="138"/>
      <x:c r="L32" s="138"/>
      <x:c r="M32" s="138"/>
      <x:c r="N32" s="138"/>
      <x:c r="O32" s="138"/>
      <x:c r="P32" s="138"/>
      <x:c r="Q32" s="138"/>
      <x:c r="R32" s="138"/>
      <x:c r="S32" s="138"/>
      <x:c r="T32" s="138"/>
      <x:c r="U32" s="138"/>
      <x:c r="V32" s="138"/>
      <x:c r="W32" s="138"/>
      <x:c r="X32" s="138"/>
      <x:c r="Y32" s="138"/>
      <x:c r="Z32" s="138"/>
    </x:row>
    <x:row r="33">
      <x:c r="A33" s="138"/>
      <x:c r="B33" s="138"/>
      <x:c r="C33" s="138"/>
      <x:c r="D33" s="138"/>
      <x:c r="E33" s="138"/>
      <x:c r="F33" s="138"/>
      <x:c r="G33" s="138"/>
      <x:c r="H33" s="138"/>
      <x:c r="I33" s="138"/>
      <x:c r="J33" s="138"/>
      <x:c r="K33" s="138"/>
      <x:c r="L33" s="138"/>
      <x:c r="M33" s="138"/>
      <x:c r="N33" s="138"/>
      <x:c r="O33" s="138"/>
      <x:c r="P33" s="138"/>
      <x:c r="Q33" s="138"/>
      <x:c r="R33" s="138"/>
      <x:c r="S33" s="138"/>
      <x:c r="T33" s="138"/>
      <x:c r="U33" s="138"/>
      <x:c r="V33" s="138"/>
      <x:c r="W33" s="138"/>
      <x:c r="X33" s="138"/>
      <x:c r="Y33" s="138"/>
      <x:c r="Z33" s="138"/>
    </x:row>
    <x:row r="34">
      <x:c r="A34" s="138"/>
      <x:c r="B34" s="138"/>
      <x:c r="C34" s="138"/>
      <x:c r="D34" s="138"/>
      <x:c r="E34" s="138"/>
      <x:c r="F34" s="138"/>
      <x:c r="G34" s="138"/>
      <x:c r="H34" s="138"/>
      <x:c r="I34" s="138"/>
      <x:c r="J34" s="138"/>
      <x:c r="K34" s="138"/>
      <x:c r="L34" s="138"/>
      <x:c r="M34" s="138"/>
      <x:c r="N34" s="138"/>
      <x:c r="O34" s="138"/>
      <x:c r="P34" s="138"/>
      <x:c r="Q34" s="138"/>
      <x:c r="R34" s="138"/>
      <x:c r="S34" s="138"/>
      <x:c r="T34" s="138"/>
      <x:c r="U34" s="138"/>
      <x:c r="V34" s="138"/>
      <x:c r="W34" s="138"/>
      <x:c r="X34" s="138"/>
      <x:c r="Y34" s="138"/>
      <x:c r="Z34" s="138"/>
    </x:row>
    <x:row r="35">
      <x:c r="A35" s="138"/>
      <x:c r="B35" s="138"/>
      <x:c r="C35" s="138"/>
      <x:c r="D35" s="138"/>
      <x:c r="E35" s="138"/>
      <x:c r="F35" s="138"/>
      <x:c r="G35" s="138"/>
      <x:c r="H35" s="138"/>
      <x:c r="I35" s="138"/>
      <x:c r="J35" s="138"/>
      <x:c r="K35" s="138"/>
      <x:c r="L35" s="138"/>
      <x:c r="M35" s="138"/>
      <x:c r="N35" s="138"/>
      <x:c r="O35" s="138"/>
      <x:c r="P35" s="138"/>
      <x:c r="Q35" s="138"/>
      <x:c r="R35" s="138"/>
      <x:c r="S35" s="138"/>
      <x:c r="T35" s="138"/>
      <x:c r="U35" s="138"/>
      <x:c r="V35" s="138"/>
      <x:c r="W35" s="138"/>
      <x:c r="X35" s="138"/>
      <x:c r="Y35" s="138"/>
      <x:c r="Z35" s="138"/>
    </x:row>
    <x:row r="36">
      <x:c r="A36" s="138"/>
      <x:c r="B36" s="138"/>
      <x:c r="C36" s="138"/>
      <x:c r="D36" s="138"/>
      <x:c r="E36" s="138"/>
      <x:c r="F36" s="138"/>
      <x:c r="G36" s="138"/>
      <x:c r="H36" s="138"/>
      <x:c r="I36" s="138"/>
      <x:c r="J36" s="138"/>
      <x:c r="K36" s="138"/>
      <x:c r="L36" s="138"/>
      <x:c r="M36" s="138"/>
      <x:c r="N36" s="138"/>
      <x:c r="O36" s="138"/>
      <x:c r="P36" s="138"/>
      <x:c r="Q36" s="138"/>
      <x:c r="R36" s="138"/>
      <x:c r="S36" s="138"/>
      <x:c r="T36" s="138"/>
      <x:c r="U36" s="138"/>
      <x:c r="V36" s="138"/>
      <x:c r="W36" s="138"/>
      <x:c r="X36" s="138"/>
      <x:c r="Y36" s="138"/>
      <x:c r="Z36" s="138"/>
    </x:row>
    <x:row r="37">
      <x:c r="A37" s="138"/>
      <x:c r="B37" s="138"/>
      <x:c r="C37" s="138"/>
      <x:c r="D37" s="138"/>
      <x:c r="E37" s="138"/>
      <x:c r="F37" s="138"/>
      <x:c r="G37" s="138"/>
      <x:c r="H37" s="138"/>
      <x:c r="I37" s="138"/>
      <x:c r="J37" s="138"/>
      <x:c r="K37" s="138"/>
      <x:c r="L37" s="138"/>
      <x:c r="M37" s="138"/>
      <x:c r="N37" s="138"/>
      <x:c r="O37" s="138"/>
      <x:c r="P37" s="138"/>
      <x:c r="Q37" s="138"/>
      <x:c r="R37" s="138"/>
      <x:c r="S37" s="138"/>
      <x:c r="T37" s="138"/>
      <x:c r="U37" s="138"/>
      <x:c r="V37" s="138"/>
      <x:c r="W37" s="138"/>
      <x:c r="X37" s="138"/>
      <x:c r="Y37" s="138"/>
      <x:c r="Z37" s="138"/>
    </x:row>
    <x:row r="38">
      <x:c r="A38" s="138"/>
      <x:c r="B38" s="138"/>
      <x:c r="C38" s="138"/>
      <x:c r="D38" s="138"/>
      <x:c r="E38" s="138"/>
      <x:c r="F38" s="138"/>
      <x:c r="G38" s="138"/>
      <x:c r="H38" s="138"/>
      <x:c r="I38" s="138"/>
      <x:c r="J38" s="138"/>
      <x:c r="K38" s="138"/>
      <x:c r="L38" s="138"/>
      <x:c r="M38" s="138"/>
      <x:c r="N38" s="138"/>
      <x:c r="O38" s="138"/>
      <x:c r="P38" s="138"/>
      <x:c r="Q38" s="138"/>
      <x:c r="R38" s="138"/>
      <x:c r="S38" s="138"/>
      <x:c r="T38" s="138"/>
      <x:c r="U38" s="138"/>
      <x:c r="V38" s="138"/>
      <x:c r="W38" s="138"/>
      <x:c r="X38" s="138"/>
      <x:c r="Y38" s="138"/>
      <x:c r="Z38" s="138"/>
    </x:row>
    <x:row r="39">
      <x:c r="A39" s="138"/>
      <x:c r="B39" s="138"/>
      <x:c r="C39" s="138"/>
      <x:c r="D39" s="138"/>
      <x:c r="E39" s="138"/>
      <x:c r="F39" s="138"/>
      <x:c r="G39" s="138"/>
      <x:c r="H39" s="138"/>
      <x:c r="I39" s="138"/>
      <x:c r="J39" s="138"/>
      <x:c r="K39" s="138"/>
      <x:c r="L39" s="138"/>
      <x:c r="M39" s="138"/>
      <x:c r="N39" s="138"/>
      <x:c r="O39" s="138"/>
      <x:c r="P39" s="138"/>
      <x:c r="Q39" s="138"/>
      <x:c r="R39" s="138"/>
      <x:c r="S39" s="138"/>
      <x:c r="T39" s="138"/>
      <x:c r="U39" s="138"/>
      <x:c r="V39" s="138"/>
      <x:c r="W39" s="138"/>
      <x:c r="X39" s="138"/>
      <x:c r="Y39" s="138"/>
      <x:c r="Z39" s="138"/>
    </x:row>
    <x:row r="40">
      <x:c r="A40" s="138"/>
      <x:c r="B40" s="138"/>
      <x:c r="C40" s="138"/>
      <x:c r="D40" s="138"/>
      <x:c r="E40" s="138"/>
      <x:c r="F40" s="138"/>
      <x:c r="G40" s="138"/>
      <x:c r="H40" s="138"/>
      <x:c r="I40" s="138"/>
      <x:c r="J40" s="138"/>
      <x:c r="K40" s="138"/>
      <x:c r="L40" s="138"/>
      <x:c r="M40" s="138"/>
      <x:c r="N40" s="138"/>
      <x:c r="O40" s="138"/>
      <x:c r="P40" s="138"/>
      <x:c r="Q40" s="138"/>
      <x:c r="R40" s="138"/>
      <x:c r="S40" s="138"/>
      <x:c r="T40" s="138"/>
      <x:c r="U40" s="138"/>
      <x:c r="V40" s="138"/>
      <x:c r="W40" s="138"/>
      <x:c r="X40" s="138"/>
      <x:c r="Y40" s="138"/>
      <x:c r="Z40" s="138"/>
    </x:row>
    <x:row r="41">
      <x:c r="A41" s="138"/>
      <x:c r="B41" s="138"/>
      <x:c r="C41" s="138"/>
      <x:c r="D41" s="138"/>
      <x:c r="E41" s="138"/>
      <x:c r="F41" s="138"/>
      <x:c r="G41" s="138"/>
      <x:c r="H41" s="138"/>
      <x:c r="I41" s="138"/>
      <x:c r="J41" s="138"/>
      <x:c r="K41" s="138"/>
      <x:c r="L41" s="138"/>
      <x:c r="M41" s="138"/>
      <x:c r="N41" s="138"/>
      <x:c r="O41" s="138"/>
      <x:c r="P41" s="138"/>
      <x:c r="Q41" s="138"/>
      <x:c r="R41" s="138"/>
      <x:c r="S41" s="138"/>
      <x:c r="T41" s="138"/>
      <x:c r="U41" s="138"/>
      <x:c r="V41" s="138"/>
      <x:c r="W41" s="138"/>
      <x:c r="X41" s="138"/>
      <x:c r="Y41" s="138"/>
      <x:c r="Z41" s="138"/>
    </x:row>
    <x:row r="42">
      <x:c r="A42" s="138"/>
      <x:c r="B42" s="138"/>
      <x:c r="C42" s="138"/>
      <x:c r="D42" s="138"/>
      <x:c r="E42" s="138"/>
      <x:c r="F42" s="138"/>
      <x:c r="G42" s="138"/>
      <x:c r="H42" s="138"/>
      <x:c r="I42" s="138"/>
      <x:c r="J42" s="138"/>
      <x:c r="K42" s="138"/>
      <x:c r="L42" s="138"/>
      <x:c r="M42" s="138"/>
      <x:c r="N42" s="138"/>
      <x:c r="O42" s="138"/>
      <x:c r="P42" s="138"/>
      <x:c r="Q42" s="138"/>
      <x:c r="R42" s="138"/>
      <x:c r="S42" s="138"/>
      <x:c r="T42" s="138"/>
      <x:c r="U42" s="138"/>
      <x:c r="V42" s="138"/>
      <x:c r="W42" s="138"/>
      <x:c r="X42" s="138"/>
      <x:c r="Y42" s="138"/>
      <x:c r="Z42" s="138"/>
    </x:row>
    <x:row r="43">
      <x:c r="A43" s="138"/>
      <x:c r="B43" s="138"/>
      <x:c r="C43" s="138"/>
      <x:c r="D43" s="138"/>
      <x:c r="E43" s="138"/>
      <x:c r="F43" s="138"/>
      <x:c r="G43" s="138"/>
      <x:c r="H43" s="138"/>
      <x:c r="I43" s="138"/>
      <x:c r="J43" s="138"/>
      <x:c r="K43" s="138"/>
      <x:c r="L43" s="138"/>
      <x:c r="M43" s="138"/>
      <x:c r="N43" s="138"/>
      <x:c r="O43" s="138"/>
      <x:c r="P43" s="138"/>
      <x:c r="Q43" s="138"/>
      <x:c r="R43" s="138"/>
      <x:c r="S43" s="138"/>
      <x:c r="T43" s="138"/>
      <x:c r="U43" s="138"/>
      <x:c r="V43" s="138"/>
      <x:c r="W43" s="138"/>
      <x:c r="X43" s="138"/>
      <x:c r="Y43" s="138"/>
      <x:c r="Z43" s="138"/>
    </x:row>
    <x:row r="44">
      <x:c r="A44" s="138"/>
      <x:c r="B44" s="138"/>
      <x:c r="C44" s="138"/>
      <x:c r="D44" s="138"/>
      <x:c r="E44" s="138"/>
      <x:c r="F44" s="138"/>
      <x:c r="G44" s="138"/>
      <x:c r="H44" s="138"/>
      <x:c r="I44" s="138"/>
      <x:c r="J44" s="138"/>
      <x:c r="K44" s="138"/>
      <x:c r="L44" s="138"/>
      <x:c r="M44" s="138"/>
      <x:c r="N44" s="138"/>
      <x:c r="O44" s="138"/>
      <x:c r="P44" s="138"/>
      <x:c r="Q44" s="138"/>
      <x:c r="R44" s="138"/>
      <x:c r="S44" s="138"/>
      <x:c r="T44" s="138"/>
      <x:c r="U44" s="138"/>
      <x:c r="V44" s="138"/>
      <x:c r="W44" s="138"/>
      <x:c r="X44" s="138"/>
      <x:c r="Y44" s="138"/>
      <x:c r="Z44" s="138"/>
    </x:row>
    <x:row r="45">
      <x:c r="A45" s="138"/>
      <x:c r="B45" s="138"/>
      <x:c r="C45" s="138"/>
      <x:c r="D45" s="138"/>
      <x:c r="E45" s="138"/>
      <x:c r="F45" s="138"/>
      <x:c r="G45" s="138"/>
      <x:c r="H45" s="138"/>
      <x:c r="I45" s="138"/>
      <x:c r="J45" s="138"/>
      <x:c r="K45" s="138"/>
      <x:c r="L45" s="138"/>
      <x:c r="M45" s="138"/>
      <x:c r="N45" s="138"/>
      <x:c r="O45" s="138"/>
      <x:c r="P45" s="138"/>
      <x:c r="Q45" s="138"/>
      <x:c r="R45" s="138"/>
      <x:c r="S45" s="138"/>
      <x:c r="T45" s="138"/>
      <x:c r="U45" s="138"/>
      <x:c r="V45" s="138"/>
      <x:c r="W45" s="138"/>
      <x:c r="X45" s="138"/>
      <x:c r="Y45" s="138"/>
      <x:c r="Z45" s="138"/>
    </x:row>
    <x:row r="46">
      <x:c r="A46" s="138"/>
      <x:c r="B46" s="138"/>
      <x:c r="C46" s="138"/>
      <x:c r="D46" s="138"/>
      <x:c r="E46" s="138"/>
      <x:c r="F46" s="138"/>
      <x:c r="G46" s="138"/>
      <x:c r="H46" s="138"/>
      <x:c r="I46" s="138"/>
      <x:c r="J46" s="138"/>
      <x:c r="K46" s="138"/>
      <x:c r="L46" s="138"/>
      <x:c r="M46" s="138"/>
      <x:c r="N46" s="138"/>
      <x:c r="O46" s="138"/>
      <x:c r="P46" s="138"/>
      <x:c r="Q46" s="138"/>
      <x:c r="R46" s="138"/>
      <x:c r="S46" s="138"/>
      <x:c r="T46" s="138"/>
      <x:c r="U46" s="138"/>
      <x:c r="V46" s="138"/>
      <x:c r="W46" s="138"/>
      <x:c r="X46" s="138"/>
      <x:c r="Y46" s="138"/>
      <x:c r="Z46" s="138"/>
    </x:row>
    <x:row r="47">
      <x:c r="A47" s="138"/>
      <x:c r="B47" s="138"/>
      <x:c r="C47" s="138"/>
      <x:c r="D47" s="138"/>
      <x:c r="E47" s="138"/>
      <x:c r="F47" s="138"/>
      <x:c r="G47" s="138"/>
      <x:c r="H47" s="138"/>
      <x:c r="I47" s="138"/>
      <x:c r="J47" s="138"/>
      <x:c r="K47" s="138"/>
      <x:c r="L47" s="138"/>
      <x:c r="M47" s="138"/>
      <x:c r="N47" s="138"/>
      <x:c r="O47" s="138"/>
      <x:c r="P47" s="138"/>
      <x:c r="Q47" s="138"/>
      <x:c r="R47" s="138"/>
      <x:c r="S47" s="138"/>
      <x:c r="T47" s="138"/>
      <x:c r="U47" s="138"/>
      <x:c r="V47" s="138"/>
      <x:c r="W47" s="138"/>
      <x:c r="X47" s="138"/>
      <x:c r="Y47" s="138"/>
      <x:c r="Z47" s="138"/>
    </x:row>
    <x:row r="48">
      <x:c r="A48" s="138"/>
      <x:c r="B48" s="138"/>
      <x:c r="C48" s="138"/>
      <x:c r="D48" s="138"/>
      <x:c r="E48" s="138"/>
      <x:c r="F48" s="138"/>
      <x:c r="G48" s="138"/>
      <x:c r="H48" s="138"/>
      <x:c r="I48" s="138"/>
      <x:c r="J48" s="138"/>
      <x:c r="K48" s="138"/>
      <x:c r="L48" s="138"/>
      <x:c r="M48" s="138"/>
      <x:c r="N48" s="138"/>
      <x:c r="O48" s="138"/>
      <x:c r="P48" s="138"/>
      <x:c r="Q48" s="138"/>
      <x:c r="R48" s="138"/>
      <x:c r="S48" s="138"/>
      <x:c r="T48" s="138"/>
      <x:c r="U48" s="138"/>
      <x:c r="V48" s="138"/>
      <x:c r="W48" s="138"/>
      <x:c r="X48" s="138"/>
      <x:c r="Y48" s="138"/>
      <x:c r="Z48" s="138"/>
    </x:row>
    <x:row r="49">
      <x:c r="A49" s="138"/>
      <x:c r="B49" s="138"/>
      <x:c r="C49" s="138"/>
      <x:c r="D49" s="138"/>
      <x:c r="E49" s="138"/>
      <x:c r="F49" s="138"/>
      <x:c r="G49" s="138"/>
      <x:c r="H49" s="138"/>
      <x:c r="I49" s="138"/>
      <x:c r="J49" s="138"/>
      <x:c r="K49" s="138"/>
      <x:c r="L49" s="138"/>
      <x:c r="M49" s="138"/>
      <x:c r="N49" s="138"/>
      <x:c r="O49" s="138"/>
      <x:c r="P49" s="138"/>
      <x:c r="Q49" s="138"/>
      <x:c r="R49" s="138"/>
      <x:c r="S49" s="138"/>
      <x:c r="T49" s="138"/>
      <x:c r="U49" s="138"/>
      <x:c r="V49" s="138"/>
      <x:c r="W49" s="138"/>
      <x:c r="X49" s="138"/>
      <x:c r="Y49" s="138"/>
      <x:c r="Z49" s="138"/>
    </x:row>
    <x:row r="50">
      <x:c r="A50" s="138"/>
      <x:c r="B50" s="138"/>
      <x:c r="C50" s="138"/>
      <x:c r="D50" s="138"/>
      <x:c r="E50" s="138"/>
      <x:c r="F50" s="138"/>
      <x:c r="G50" s="138"/>
      <x:c r="H50" s="138"/>
      <x:c r="I50" s="138"/>
      <x:c r="J50" s="138"/>
      <x:c r="K50" s="138"/>
      <x:c r="L50" s="138"/>
      <x:c r="M50" s="138"/>
      <x:c r="N50" s="138"/>
      <x:c r="O50" s="138"/>
      <x:c r="P50" s="138"/>
      <x:c r="Q50" s="138"/>
      <x:c r="R50" s="138"/>
      <x:c r="S50" s="138"/>
      <x:c r="T50" s="138"/>
      <x:c r="U50" s="138"/>
      <x:c r="V50" s="138"/>
      <x:c r="W50" s="138"/>
      <x:c r="X50" s="138"/>
      <x:c r="Y50" s="138"/>
      <x:c r="Z50" s="138"/>
    </x:row>
    <x:row r="51">
      <x:c r="A51" s="138"/>
      <x:c r="B51" s="138"/>
      <x:c r="C51" s="138"/>
      <x:c r="D51" s="138"/>
      <x:c r="E51" s="138"/>
      <x:c r="F51" s="138"/>
      <x:c r="G51" s="138"/>
      <x:c r="H51" s="138"/>
      <x:c r="I51" s="138"/>
      <x:c r="J51" s="138"/>
      <x:c r="K51" s="138"/>
      <x:c r="L51" s="138"/>
      <x:c r="M51" s="138"/>
      <x:c r="N51" s="138"/>
      <x:c r="O51" s="138"/>
      <x:c r="P51" s="138"/>
      <x:c r="Q51" s="138"/>
      <x:c r="R51" s="138"/>
      <x:c r="S51" s="138"/>
      <x:c r="T51" s="138"/>
      <x:c r="U51" s="138"/>
      <x:c r="V51" s="138"/>
      <x:c r="W51" s="138"/>
      <x:c r="X51" s="138"/>
      <x:c r="Y51" s="138"/>
      <x:c r="Z51" s="138"/>
    </x:row>
    <x:row r="52">
      <x:c r="A52" s="138"/>
      <x:c r="B52" s="138"/>
      <x:c r="C52" s="138"/>
      <x:c r="D52" s="138"/>
      <x:c r="E52" s="138"/>
      <x:c r="F52" s="138"/>
      <x:c r="G52" s="138"/>
      <x:c r="H52" s="138"/>
      <x:c r="I52" s="138"/>
      <x:c r="J52" s="138"/>
      <x:c r="K52" s="138"/>
      <x:c r="L52" s="138"/>
      <x:c r="M52" s="138"/>
      <x:c r="N52" s="138"/>
      <x:c r="O52" s="138"/>
      <x:c r="P52" s="138"/>
      <x:c r="Q52" s="138"/>
      <x:c r="R52" s="138"/>
      <x:c r="S52" s="138"/>
      <x:c r="T52" s="138"/>
      <x:c r="U52" s="138"/>
      <x:c r="V52" s="138"/>
      <x:c r="W52" s="138"/>
      <x:c r="X52" s="138"/>
      <x:c r="Y52" s="138"/>
      <x:c r="Z52" s="138"/>
    </x:row>
    <x:row r="53">
      <x:c r="A53" s="138"/>
      <x:c r="B53" s="138"/>
      <x:c r="C53" s="138"/>
      <x:c r="D53" s="138"/>
      <x:c r="E53" s="138"/>
      <x:c r="F53" s="138"/>
      <x:c r="G53" s="138"/>
      <x:c r="H53" s="138"/>
      <x:c r="I53" s="138"/>
      <x:c r="J53" s="138"/>
      <x:c r="K53" s="138"/>
      <x:c r="L53" s="138"/>
      <x:c r="M53" s="138"/>
      <x:c r="N53" s="138"/>
      <x:c r="O53" s="138"/>
      <x:c r="P53" s="138"/>
      <x:c r="Q53" s="138"/>
      <x:c r="R53" s="138"/>
      <x:c r="S53" s="138"/>
      <x:c r="T53" s="138"/>
      <x:c r="U53" s="138"/>
      <x:c r="V53" s="138"/>
      <x:c r="W53" s="138"/>
      <x:c r="X53" s="138"/>
      <x:c r="Y53" s="138"/>
      <x:c r="Z53" s="138"/>
    </x:row>
    <x:row r="54">
      <x:c r="A54" s="138"/>
      <x:c r="B54" s="138"/>
      <x:c r="C54" s="138"/>
      <x:c r="D54" s="138"/>
      <x:c r="E54" s="138"/>
      <x:c r="F54" s="138"/>
      <x:c r="G54" s="138"/>
      <x:c r="H54" s="138"/>
      <x:c r="I54" s="138"/>
      <x:c r="J54" s="138"/>
      <x:c r="K54" s="138"/>
      <x:c r="L54" s="138"/>
      <x:c r="M54" s="138"/>
      <x:c r="N54" s="138"/>
      <x:c r="O54" s="138"/>
      <x:c r="P54" s="138"/>
      <x:c r="Q54" s="138"/>
      <x:c r="R54" s="138"/>
      <x:c r="S54" s="138"/>
      <x:c r="T54" s="138"/>
      <x:c r="U54" s="138"/>
      <x:c r="V54" s="138"/>
      <x:c r="W54" s="138"/>
      <x:c r="X54" s="138"/>
      <x:c r="Y54" s="138"/>
      <x:c r="Z54" s="138"/>
    </x:row>
    <x:row r="55">
      <x:c r="A55" s="138"/>
      <x:c r="B55" s="138"/>
      <x:c r="C55" s="138"/>
      <x:c r="D55" s="138"/>
      <x:c r="E55" s="138"/>
      <x:c r="F55" s="138"/>
      <x:c r="G55" s="138"/>
      <x:c r="H55" s="138"/>
      <x:c r="I55" s="138"/>
      <x:c r="J55" s="138"/>
      <x:c r="K55" s="138"/>
      <x:c r="L55" s="138"/>
      <x:c r="M55" s="138"/>
      <x:c r="N55" s="138"/>
      <x:c r="O55" s="138"/>
      <x:c r="P55" s="138"/>
      <x:c r="Q55" s="138"/>
      <x:c r="R55" s="138"/>
      <x:c r="S55" s="138"/>
      <x:c r="T55" s="138"/>
      <x:c r="U55" s="138"/>
      <x:c r="V55" s="138"/>
      <x:c r="W55" s="138"/>
      <x:c r="X55" s="138"/>
      <x:c r="Y55" s="138"/>
      <x:c r="Z55" s="138"/>
    </x:row>
    <x:row r="56">
      <x:c r="A56" s="138"/>
      <x:c r="B56" s="138"/>
      <x:c r="C56" s="138"/>
      <x:c r="D56" s="138"/>
      <x:c r="E56" s="138"/>
      <x:c r="F56" s="138"/>
      <x:c r="G56" s="138"/>
      <x:c r="H56" s="138"/>
      <x:c r="I56" s="138"/>
      <x:c r="J56" s="138"/>
      <x:c r="K56" s="138"/>
      <x:c r="L56" s="138"/>
      <x:c r="M56" s="138"/>
      <x:c r="N56" s="138"/>
      <x:c r="O56" s="138"/>
      <x:c r="P56" s="138"/>
      <x:c r="Q56" s="138"/>
      <x:c r="R56" s="138"/>
      <x:c r="S56" s="138"/>
      <x:c r="T56" s="138"/>
      <x:c r="U56" s="138"/>
      <x:c r="V56" s="138"/>
      <x:c r="W56" s="138"/>
      <x:c r="X56" s="138"/>
      <x:c r="Y56" s="138"/>
      <x:c r="Z56" s="138"/>
    </x:row>
    <x:row r="57">
      <x:c r="A57" s="138"/>
      <x:c r="B57" s="138"/>
      <x:c r="C57" s="138"/>
      <x:c r="D57" s="138"/>
      <x:c r="E57" s="138"/>
      <x:c r="F57" s="138"/>
      <x:c r="G57" s="138"/>
      <x:c r="H57" s="138"/>
      <x:c r="I57" s="138"/>
      <x:c r="J57" s="138"/>
      <x:c r="K57" s="138"/>
      <x:c r="L57" s="138"/>
      <x:c r="M57" s="138"/>
      <x:c r="N57" s="138"/>
      <x:c r="O57" s="138"/>
      <x:c r="P57" s="138"/>
      <x:c r="Q57" s="138"/>
      <x:c r="R57" s="138"/>
      <x:c r="S57" s="138"/>
      <x:c r="T57" s="138"/>
      <x:c r="U57" s="138"/>
      <x:c r="V57" s="138"/>
      <x:c r="W57" s="138"/>
      <x:c r="X57" s="138"/>
      <x:c r="Y57" s="138"/>
      <x:c r="Z57" s="138"/>
    </x:row>
    <x:row r="58">
      <x:c r="A58" s="138"/>
      <x:c r="B58" s="138"/>
      <x:c r="C58" s="138"/>
      <x:c r="D58" s="138"/>
      <x:c r="E58" s="138"/>
      <x:c r="F58" s="138"/>
      <x:c r="G58" s="138"/>
      <x:c r="H58" s="138"/>
      <x:c r="I58" s="138"/>
      <x:c r="J58" s="138"/>
      <x:c r="K58" s="138"/>
      <x:c r="L58" s="138"/>
      <x:c r="M58" s="138"/>
      <x:c r="N58" s="138"/>
      <x:c r="O58" s="138"/>
      <x:c r="P58" s="138"/>
      <x:c r="Q58" s="138"/>
      <x:c r="R58" s="138"/>
      <x:c r="S58" s="138"/>
      <x:c r="T58" s="138"/>
      <x:c r="U58" s="138"/>
      <x:c r="V58" s="138"/>
      <x:c r="W58" s="138"/>
      <x:c r="X58" s="138"/>
      <x:c r="Y58" s="138"/>
      <x:c r="Z58" s="138"/>
    </x:row>
    <x:row r="59">
      <x:c r="A59" s="138"/>
      <x:c r="B59" s="138"/>
      <x:c r="C59" s="138"/>
      <x:c r="D59" s="138"/>
      <x:c r="E59" s="138"/>
      <x:c r="F59" s="138"/>
      <x:c r="G59" s="138"/>
      <x:c r="H59" s="138"/>
      <x:c r="I59" s="138"/>
      <x:c r="J59" s="138"/>
      <x:c r="K59" s="138"/>
      <x:c r="L59" s="138"/>
      <x:c r="M59" s="138"/>
      <x:c r="N59" s="138"/>
      <x:c r="O59" s="138"/>
      <x:c r="P59" s="138"/>
      <x:c r="Q59" s="138"/>
      <x:c r="R59" s="138"/>
      <x:c r="S59" s="138"/>
      <x:c r="T59" s="138"/>
      <x:c r="U59" s="138"/>
      <x:c r="V59" s="138"/>
      <x:c r="W59" s="138"/>
      <x:c r="X59" s="138"/>
      <x:c r="Y59" s="138"/>
      <x:c r="Z59" s="138"/>
    </x:row>
    <x:row r="60">
      <x:c r="A60" s="138"/>
      <x:c r="B60" s="138"/>
      <x:c r="C60" s="138"/>
      <x:c r="D60" s="138"/>
      <x:c r="E60" s="138"/>
      <x:c r="F60" s="138"/>
      <x:c r="G60" s="138"/>
      <x:c r="H60" s="138"/>
      <x:c r="I60" s="138"/>
      <x:c r="J60" s="138"/>
      <x:c r="K60" s="138"/>
      <x:c r="L60" s="138"/>
      <x:c r="M60" s="138"/>
      <x:c r="N60" s="138"/>
      <x:c r="O60" s="138"/>
      <x:c r="P60" s="138"/>
      <x:c r="Q60" s="138"/>
      <x:c r="R60" s="138"/>
      <x:c r="S60" s="138"/>
      <x:c r="T60" s="138"/>
      <x:c r="U60" s="138"/>
      <x:c r="V60" s="138"/>
      <x:c r="W60" s="138"/>
      <x:c r="X60" s="138"/>
      <x:c r="Y60" s="138"/>
      <x:c r="Z60" s="138"/>
    </x:row>
    <x:row r="61">
      <x:c r="A61" s="138"/>
      <x:c r="B61" s="138"/>
      <x:c r="C61" s="138"/>
      <x:c r="D61" s="138"/>
      <x:c r="E61" s="138"/>
      <x:c r="F61" s="138"/>
      <x:c r="G61" s="138"/>
      <x:c r="H61" s="138"/>
      <x:c r="I61" s="138"/>
      <x:c r="J61" s="138"/>
      <x:c r="K61" s="138"/>
      <x:c r="L61" s="138"/>
      <x:c r="M61" s="138"/>
      <x:c r="N61" s="138"/>
      <x:c r="O61" s="138"/>
      <x:c r="P61" s="138"/>
      <x:c r="Q61" s="138"/>
      <x:c r="R61" s="138"/>
      <x:c r="S61" s="138"/>
      <x:c r="T61" s="138"/>
      <x:c r="U61" s="138"/>
      <x:c r="V61" s="138"/>
      <x:c r="W61" s="138"/>
      <x:c r="X61" s="138"/>
      <x:c r="Y61" s="138"/>
      <x:c r="Z61" s="138"/>
    </x:row>
    <x:row r="62">
      <x:c r="A62" s="138"/>
      <x:c r="B62" s="138"/>
      <x:c r="C62" s="138"/>
      <x:c r="D62" s="138"/>
      <x:c r="E62" s="138"/>
      <x:c r="F62" s="138"/>
      <x:c r="G62" s="138"/>
      <x:c r="H62" s="138"/>
      <x:c r="I62" s="138"/>
      <x:c r="J62" s="138"/>
      <x:c r="K62" s="138"/>
      <x:c r="L62" s="138"/>
      <x:c r="M62" s="138"/>
      <x:c r="N62" s="138"/>
      <x:c r="O62" s="138"/>
      <x:c r="P62" s="138"/>
      <x:c r="Q62" s="138"/>
      <x:c r="R62" s="138"/>
      <x:c r="S62" s="138"/>
      <x:c r="T62" s="138"/>
      <x:c r="U62" s="138"/>
      <x:c r="V62" s="138"/>
      <x:c r="W62" s="138"/>
      <x:c r="X62" s="138"/>
      <x:c r="Y62" s="138"/>
      <x:c r="Z62" s="138"/>
    </x:row>
    <x:row r="63">
      <x:c r="A63" s="138"/>
      <x:c r="B63" s="138"/>
      <x:c r="C63" s="138"/>
      <x:c r="D63" s="138"/>
      <x:c r="E63" s="138"/>
      <x:c r="F63" s="138"/>
      <x:c r="G63" s="138"/>
      <x:c r="H63" s="138"/>
      <x:c r="I63" s="138"/>
      <x:c r="J63" s="138"/>
      <x:c r="K63" s="138"/>
      <x:c r="L63" s="138"/>
      <x:c r="M63" s="138"/>
      <x:c r="N63" s="138"/>
      <x:c r="O63" s="138"/>
      <x:c r="P63" s="138"/>
      <x:c r="Q63" s="138"/>
      <x:c r="R63" s="138"/>
      <x:c r="S63" s="138"/>
      <x:c r="T63" s="138"/>
      <x:c r="U63" s="138"/>
      <x:c r="V63" s="138"/>
      <x:c r="W63" s="138"/>
      <x:c r="X63" s="138"/>
      <x:c r="Y63" s="138"/>
      <x:c r="Z63" s="138"/>
    </x:row>
    <x:row r="64">
      <x:c r="A64" s="138"/>
      <x:c r="B64" s="138"/>
      <x:c r="C64" s="138"/>
      <x:c r="D64" s="138"/>
      <x:c r="E64" s="138"/>
      <x:c r="F64" s="138"/>
      <x:c r="G64" s="138"/>
      <x:c r="H64" s="138"/>
      <x:c r="I64" s="138"/>
      <x:c r="J64" s="138"/>
      <x:c r="K64" s="138"/>
      <x:c r="L64" s="138"/>
      <x:c r="M64" s="138"/>
      <x:c r="N64" s="138"/>
      <x:c r="O64" s="138"/>
      <x:c r="P64" s="138"/>
      <x:c r="Q64" s="138"/>
      <x:c r="R64" s="138"/>
      <x:c r="S64" s="138"/>
      <x:c r="T64" s="138"/>
      <x:c r="U64" s="138"/>
      <x:c r="V64" s="138"/>
      <x:c r="W64" s="138"/>
      <x:c r="X64" s="138"/>
      <x:c r="Y64" s="138"/>
      <x:c r="Z64" s="138"/>
    </x:row>
    <x:row r="65">
      <x:c r="A65" s="138"/>
      <x:c r="B65" s="138"/>
      <x:c r="C65" s="138"/>
      <x:c r="D65" s="138"/>
      <x:c r="E65" s="138"/>
      <x:c r="F65" s="138"/>
      <x:c r="G65" s="138"/>
      <x:c r="H65" s="138"/>
      <x:c r="I65" s="138"/>
      <x:c r="J65" s="138"/>
      <x:c r="K65" s="138"/>
      <x:c r="L65" s="138"/>
      <x:c r="M65" s="138"/>
      <x:c r="N65" s="138"/>
      <x:c r="O65" s="138"/>
      <x:c r="P65" s="138"/>
      <x:c r="Q65" s="138"/>
      <x:c r="R65" s="138"/>
      <x:c r="S65" s="138"/>
      <x:c r="T65" s="138"/>
      <x:c r="U65" s="138"/>
      <x:c r="V65" s="138"/>
      <x:c r="W65" s="138"/>
      <x:c r="X65" s="138"/>
      <x:c r="Y65" s="138"/>
      <x:c r="Z65" s="138"/>
    </x:row>
    <x:row r="66">
      <x:c r="A66" s="138"/>
      <x:c r="B66" s="138"/>
      <x:c r="C66" s="138"/>
      <x:c r="D66" s="138"/>
      <x:c r="E66" s="138"/>
      <x:c r="F66" s="138"/>
      <x:c r="G66" s="138"/>
      <x:c r="H66" s="138"/>
      <x:c r="I66" s="138"/>
      <x:c r="J66" s="138"/>
      <x:c r="K66" s="138"/>
      <x:c r="L66" s="138"/>
      <x:c r="M66" s="138"/>
      <x:c r="N66" s="138"/>
      <x:c r="O66" s="138"/>
      <x:c r="P66" s="138"/>
      <x:c r="Q66" s="138"/>
      <x:c r="R66" s="138"/>
      <x:c r="S66" s="138"/>
      <x:c r="T66" s="138"/>
      <x:c r="U66" s="138"/>
      <x:c r="V66" s="138"/>
      <x:c r="W66" s="138"/>
      <x:c r="X66" s="138"/>
      <x:c r="Y66" s="138"/>
      <x:c r="Z66" s="138"/>
    </x:row>
    <x:row r="67">
      <x:c r="A67" s="138"/>
      <x:c r="B67" s="138"/>
      <x:c r="C67" s="138"/>
      <x:c r="D67" s="138"/>
      <x:c r="E67" s="138"/>
      <x:c r="F67" s="138"/>
      <x:c r="G67" s="138"/>
      <x:c r="H67" s="138"/>
      <x:c r="I67" s="138"/>
      <x:c r="J67" s="138"/>
      <x:c r="K67" s="138"/>
      <x:c r="L67" s="138"/>
      <x:c r="M67" s="138"/>
      <x:c r="N67" s="138"/>
      <x:c r="O67" s="138"/>
      <x:c r="P67" s="138"/>
      <x:c r="Q67" s="138"/>
      <x:c r="R67" s="138"/>
      <x:c r="S67" s="138"/>
      <x:c r="T67" s="138"/>
      <x:c r="U67" s="138"/>
      <x:c r="V67" s="138"/>
      <x:c r="W67" s="138"/>
      <x:c r="X67" s="138"/>
      <x:c r="Y67" s="138"/>
      <x:c r="Z67" s="138"/>
    </x:row>
    <x:row r="68">
      <x:c r="A68" s="138"/>
      <x:c r="B68" s="138"/>
      <x:c r="C68" s="138"/>
      <x:c r="D68" s="138"/>
      <x:c r="E68" s="138"/>
      <x:c r="F68" s="138"/>
      <x:c r="G68" s="138"/>
      <x:c r="H68" s="138"/>
      <x:c r="I68" s="138"/>
      <x:c r="J68" s="138"/>
      <x:c r="K68" s="138"/>
      <x:c r="L68" s="138"/>
      <x:c r="M68" s="138"/>
      <x:c r="N68" s="138"/>
      <x:c r="O68" s="138"/>
      <x:c r="P68" s="138"/>
      <x:c r="Q68" s="138"/>
      <x:c r="R68" s="138"/>
      <x:c r="S68" s="138"/>
      <x:c r="T68" s="138"/>
      <x:c r="U68" s="138"/>
      <x:c r="V68" s="138"/>
      <x:c r="W68" s="138"/>
      <x:c r="X68" s="138"/>
      <x:c r="Y68" s="138"/>
      <x:c r="Z68" s="138"/>
    </x:row>
    <x:row r="69">
      <x:c r="A69" s="138"/>
      <x:c r="B69" s="138"/>
      <x:c r="C69" s="138"/>
      <x:c r="D69" s="138"/>
      <x:c r="E69" s="138"/>
      <x:c r="F69" s="138"/>
      <x:c r="G69" s="138"/>
      <x:c r="H69" s="138"/>
      <x:c r="I69" s="138"/>
      <x:c r="J69" s="138"/>
      <x:c r="K69" s="138"/>
      <x:c r="L69" s="138"/>
      <x:c r="M69" s="138"/>
      <x:c r="N69" s="138"/>
      <x:c r="O69" s="138"/>
      <x:c r="P69" s="138"/>
      <x:c r="Q69" s="138"/>
      <x:c r="R69" s="138"/>
      <x:c r="S69" s="138"/>
      <x:c r="T69" s="138"/>
      <x:c r="U69" s="138"/>
      <x:c r="V69" s="138"/>
      <x:c r="W69" s="138"/>
      <x:c r="X69" s="138"/>
      <x:c r="Y69" s="138"/>
      <x:c r="Z69" s="138"/>
    </x:row>
    <x:row r="70">
      <x:c r="A70" s="138"/>
      <x:c r="B70" s="138"/>
      <x:c r="C70" s="138"/>
      <x:c r="D70" s="138"/>
      <x:c r="E70" s="138"/>
      <x:c r="F70" s="138"/>
      <x:c r="G70" s="138"/>
      <x:c r="H70" s="138"/>
      <x:c r="I70" s="138"/>
      <x:c r="J70" s="138"/>
      <x:c r="K70" s="138"/>
      <x:c r="L70" s="138"/>
      <x:c r="M70" s="138"/>
      <x:c r="N70" s="138"/>
      <x:c r="O70" s="138"/>
      <x:c r="P70" s="138"/>
      <x:c r="Q70" s="138"/>
      <x:c r="R70" s="138"/>
      <x:c r="S70" s="138"/>
      <x:c r="T70" s="138"/>
      <x:c r="U70" s="138"/>
      <x:c r="V70" s="138"/>
      <x:c r="W70" s="138"/>
      <x:c r="X70" s="138"/>
      <x:c r="Y70" s="138"/>
      <x:c r="Z70" s="138"/>
    </x:row>
    <x:row r="71">
      <x:c r="A71" s="138"/>
      <x:c r="B71" s="138"/>
      <x:c r="C71" s="138"/>
      <x:c r="D71" s="138"/>
      <x:c r="E71" s="138"/>
      <x:c r="F71" s="138"/>
      <x:c r="G71" s="138"/>
      <x:c r="H71" s="138"/>
      <x:c r="I71" s="138"/>
      <x:c r="J71" s="138"/>
      <x:c r="K71" s="138"/>
      <x:c r="L71" s="138"/>
      <x:c r="M71" s="138"/>
      <x:c r="N71" s="138"/>
      <x:c r="O71" s="138"/>
      <x:c r="P71" s="138"/>
      <x:c r="Q71" s="138"/>
      <x:c r="R71" s="138"/>
      <x:c r="S71" s="138"/>
      <x:c r="T71" s="138"/>
      <x:c r="U71" s="138"/>
      <x:c r="V71" s="138"/>
      <x:c r="W71" s="138"/>
      <x:c r="X71" s="138"/>
      <x:c r="Y71" s="138"/>
      <x:c r="Z71" s="138"/>
    </x:row>
    <x:row r="72">
      <x:c r="A72" s="138"/>
      <x:c r="B72" s="138"/>
      <x:c r="C72" s="138"/>
      <x:c r="D72" s="138"/>
      <x:c r="E72" s="138"/>
      <x:c r="F72" s="138"/>
      <x:c r="G72" s="138"/>
      <x:c r="H72" s="138"/>
      <x:c r="I72" s="138"/>
      <x:c r="J72" s="138"/>
      <x:c r="K72" s="138"/>
      <x:c r="L72" s="138"/>
      <x:c r="M72" s="138"/>
      <x:c r="N72" s="138"/>
      <x:c r="O72" s="138"/>
      <x:c r="P72" s="138"/>
      <x:c r="Q72" s="138"/>
      <x:c r="R72" s="138"/>
      <x:c r="S72" s="138"/>
      <x:c r="T72" s="138"/>
      <x:c r="U72" s="138"/>
      <x:c r="V72" s="138"/>
      <x:c r="W72" s="138"/>
      <x:c r="X72" s="138"/>
      <x:c r="Y72" s="138"/>
      <x:c r="Z72" s="138"/>
    </x:row>
    <x:row r="73">
      <x:c r="A73" s="138"/>
      <x:c r="B73" s="138"/>
      <x:c r="C73" s="138"/>
      <x:c r="D73" s="138"/>
      <x:c r="E73" s="138"/>
      <x:c r="F73" s="138"/>
      <x:c r="G73" s="138"/>
      <x:c r="H73" s="138"/>
      <x:c r="I73" s="138"/>
      <x:c r="J73" s="138"/>
      <x:c r="K73" s="138"/>
      <x:c r="L73" s="138"/>
      <x:c r="M73" s="138"/>
      <x:c r="N73" s="138"/>
      <x:c r="O73" s="138"/>
      <x:c r="P73" s="138"/>
      <x:c r="Q73" s="138"/>
      <x:c r="R73" s="138"/>
      <x:c r="S73" s="138"/>
      <x:c r="T73" s="138"/>
      <x:c r="U73" s="138"/>
      <x:c r="V73" s="138"/>
      <x:c r="W73" s="138"/>
      <x:c r="X73" s="138"/>
      <x:c r="Y73" s="138"/>
      <x:c r="Z73" s="138"/>
    </x:row>
    <x:row r="74">
      <x:c r="A74" s="138"/>
      <x:c r="B74" s="138"/>
      <x:c r="C74" s="138"/>
      <x:c r="D74" s="138"/>
      <x:c r="E74" s="138"/>
      <x:c r="F74" s="138"/>
      <x:c r="G74" s="138"/>
      <x:c r="H74" s="138"/>
      <x:c r="I74" s="138"/>
      <x:c r="J74" s="138"/>
      <x:c r="K74" s="138"/>
      <x:c r="L74" s="138"/>
      <x:c r="M74" s="138"/>
      <x:c r="N74" s="138"/>
      <x:c r="O74" s="138"/>
      <x:c r="P74" s="138"/>
      <x:c r="Q74" s="138"/>
      <x:c r="R74" s="138"/>
      <x:c r="S74" s="138"/>
      <x:c r="T74" s="138"/>
      <x:c r="U74" s="138"/>
      <x:c r="V74" s="138"/>
      <x:c r="W74" s="138"/>
      <x:c r="X74" s="138"/>
      <x:c r="Y74" s="138"/>
      <x:c r="Z74" s="138"/>
    </x:row>
    <x:row r="75">
      <x:c r="A75" s="138"/>
      <x:c r="B75" s="138"/>
      <x:c r="C75" s="138"/>
      <x:c r="D75" s="138"/>
      <x:c r="E75" s="138"/>
      <x:c r="F75" s="138"/>
      <x:c r="G75" s="138"/>
      <x:c r="H75" s="138"/>
      <x:c r="I75" s="138"/>
      <x:c r="J75" s="138"/>
      <x:c r="K75" s="138"/>
      <x:c r="L75" s="138"/>
      <x:c r="M75" s="138"/>
      <x:c r="N75" s="138"/>
      <x:c r="O75" s="138"/>
      <x:c r="P75" s="138"/>
      <x:c r="Q75" s="138"/>
      <x:c r="R75" s="138"/>
      <x:c r="S75" s="138"/>
      <x:c r="T75" s="138"/>
      <x:c r="U75" s="138"/>
      <x:c r="V75" s="138"/>
      <x:c r="W75" s="138"/>
      <x:c r="X75" s="138"/>
      <x:c r="Y75" s="138"/>
      <x:c r="Z75" s="138"/>
    </x:row>
    <x:row r="76">
      <x:c r="A76" s="138"/>
      <x:c r="B76" s="138"/>
      <x:c r="C76" s="138"/>
      <x:c r="D76" s="138"/>
      <x:c r="E76" s="138"/>
      <x:c r="F76" s="138"/>
      <x:c r="G76" s="138"/>
      <x:c r="H76" s="138"/>
      <x:c r="I76" s="138"/>
      <x:c r="J76" s="138"/>
      <x:c r="K76" s="138"/>
      <x:c r="L76" s="138"/>
      <x:c r="M76" s="138"/>
      <x:c r="N76" s="138"/>
      <x:c r="O76" s="138"/>
      <x:c r="P76" s="138"/>
      <x:c r="Q76" s="138"/>
      <x:c r="R76" s="138"/>
      <x:c r="S76" s="138"/>
      <x:c r="T76" s="138"/>
      <x:c r="U76" s="138"/>
      <x:c r="V76" s="138"/>
      <x:c r="W76" s="138"/>
      <x:c r="X76" s="138"/>
      <x:c r="Y76" s="138"/>
      <x:c r="Z76" s="138"/>
    </x:row>
    <x:row r="77">
      <x:c r="A77" s="138"/>
      <x:c r="B77" s="138"/>
      <x:c r="C77" s="138"/>
      <x:c r="D77" s="138"/>
      <x:c r="E77" s="138"/>
      <x:c r="F77" s="138"/>
      <x:c r="G77" s="138"/>
      <x:c r="H77" s="138"/>
      <x:c r="I77" s="138"/>
      <x:c r="J77" s="138"/>
      <x:c r="K77" s="138"/>
      <x:c r="L77" s="138"/>
      <x:c r="M77" s="138"/>
      <x:c r="N77" s="138"/>
      <x:c r="O77" s="138"/>
      <x:c r="P77" s="138"/>
      <x:c r="Q77" s="138"/>
      <x:c r="R77" s="138"/>
      <x:c r="S77" s="138"/>
      <x:c r="T77" s="138"/>
      <x:c r="U77" s="138"/>
      <x:c r="V77" s="138"/>
      <x:c r="W77" s="138"/>
      <x:c r="X77" s="138"/>
      <x:c r="Y77" s="138"/>
      <x:c r="Z77" s="138"/>
    </x:row>
    <x:row r="78">
      <x:c r="A78" s="138"/>
      <x:c r="B78" s="138"/>
      <x:c r="C78" s="138"/>
      <x:c r="D78" s="138"/>
      <x:c r="E78" s="138"/>
      <x:c r="F78" s="138"/>
      <x:c r="G78" s="138"/>
      <x:c r="H78" s="138"/>
      <x:c r="I78" s="138"/>
      <x:c r="J78" s="138"/>
      <x:c r="K78" s="138"/>
      <x:c r="L78" s="138"/>
      <x:c r="M78" s="138"/>
      <x:c r="N78" s="138"/>
      <x:c r="O78" s="138"/>
      <x:c r="P78" s="138"/>
      <x:c r="Q78" s="138"/>
      <x:c r="R78" s="138"/>
      <x:c r="S78" s="138"/>
      <x:c r="T78" s="138"/>
      <x:c r="U78" s="138"/>
      <x:c r="V78" s="138"/>
      <x:c r="W78" s="138"/>
      <x:c r="X78" s="138"/>
      <x:c r="Y78" s="138"/>
      <x:c r="Z78" s="138"/>
    </x:row>
    <x:row r="79">
      <x:c r="A79" s="138"/>
      <x:c r="B79" s="138"/>
      <x:c r="C79" s="138"/>
      <x:c r="D79" s="138"/>
      <x:c r="E79" s="138"/>
      <x:c r="F79" s="138"/>
      <x:c r="G79" s="138"/>
      <x:c r="H79" s="138"/>
      <x:c r="I79" s="138"/>
      <x:c r="J79" s="138"/>
      <x:c r="K79" s="138"/>
      <x:c r="L79" s="138"/>
      <x:c r="M79" s="138"/>
      <x:c r="N79" s="138"/>
      <x:c r="O79" s="138"/>
      <x:c r="P79" s="138"/>
      <x:c r="Q79" s="138"/>
      <x:c r="R79" s="138"/>
      <x:c r="S79" s="138"/>
      <x:c r="T79" s="138"/>
      <x:c r="U79" s="138"/>
      <x:c r="V79" s="138"/>
      <x:c r="W79" s="138"/>
      <x:c r="X79" s="138"/>
      <x:c r="Y79" s="138"/>
      <x:c r="Z79" s="138"/>
    </x:row>
    <x:row r="80">
      <x:c r="A80" s="138"/>
      <x:c r="B80" s="138"/>
      <x:c r="C80" s="138"/>
      <x:c r="D80" s="138"/>
      <x:c r="E80" s="138"/>
      <x:c r="F80" s="138"/>
      <x:c r="G80" s="138"/>
      <x:c r="H80" s="138"/>
      <x:c r="I80" s="138"/>
      <x:c r="J80" s="138"/>
      <x:c r="K80" s="138"/>
      <x:c r="L80" s="138"/>
      <x:c r="M80" s="138"/>
      <x:c r="N80" s="138"/>
      <x:c r="O80" s="138"/>
      <x:c r="P80" s="138"/>
      <x:c r="Q80" s="138"/>
      <x:c r="R80" s="138"/>
      <x:c r="S80" s="138"/>
      <x:c r="T80" s="138"/>
      <x:c r="U80" s="138"/>
      <x:c r="V80" s="138"/>
      <x:c r="W80" s="138"/>
      <x:c r="X80" s="138"/>
      <x:c r="Y80" s="138"/>
      <x:c r="Z80" s="138"/>
    </x:row>
    <x:row r="81">
      <x:c r="A81" s="138"/>
      <x:c r="B81" s="138"/>
      <x:c r="C81" s="138"/>
      <x:c r="D81" s="138"/>
      <x:c r="E81" s="138"/>
      <x:c r="F81" s="138"/>
      <x:c r="G81" s="138"/>
      <x:c r="H81" s="138"/>
      <x:c r="I81" s="138"/>
      <x:c r="J81" s="138"/>
      <x:c r="K81" s="138"/>
      <x:c r="L81" s="138"/>
      <x:c r="M81" s="138"/>
      <x:c r="N81" s="138"/>
      <x:c r="O81" s="138"/>
      <x:c r="P81" s="138"/>
      <x:c r="Q81" s="138"/>
      <x:c r="R81" s="138"/>
      <x:c r="S81" s="138"/>
      <x:c r="T81" s="138"/>
      <x:c r="U81" s="138"/>
      <x:c r="V81" s="138"/>
      <x:c r="W81" s="138"/>
      <x:c r="X81" s="138"/>
      <x:c r="Y81" s="138"/>
      <x:c r="Z81" s="138"/>
    </x:row>
    <x:row r="82">
      <x:c r="A82" s="138"/>
      <x:c r="B82" s="138"/>
      <x:c r="C82" s="138"/>
      <x:c r="D82" s="138"/>
      <x:c r="E82" s="138"/>
      <x:c r="F82" s="138"/>
      <x:c r="G82" s="138"/>
      <x:c r="H82" s="138"/>
      <x:c r="I82" s="138"/>
      <x:c r="J82" s="138"/>
      <x:c r="K82" s="138"/>
      <x:c r="L82" s="138"/>
      <x:c r="M82" s="138"/>
      <x:c r="N82" s="138"/>
      <x:c r="O82" s="138"/>
      <x:c r="P82" s="138"/>
      <x:c r="Q82" s="138"/>
      <x:c r="R82" s="138"/>
      <x:c r="S82" s="138"/>
      <x:c r="T82" s="138"/>
      <x:c r="U82" s="138"/>
      <x:c r="V82" s="138"/>
      <x:c r="W82" s="138"/>
      <x:c r="X82" s="138"/>
      <x:c r="Y82" s="138"/>
      <x:c r="Z82" s="138"/>
    </x:row>
    <x:row r="83">
      <x:c r="A83" s="138"/>
      <x:c r="B83" s="138"/>
      <x:c r="C83" s="138"/>
      <x:c r="D83" s="138"/>
      <x:c r="E83" s="138"/>
      <x:c r="F83" s="138"/>
      <x:c r="G83" s="138"/>
      <x:c r="H83" s="138"/>
      <x:c r="I83" s="138"/>
      <x:c r="J83" s="138"/>
      <x:c r="K83" s="138"/>
      <x:c r="L83" s="138"/>
      <x:c r="M83" s="138"/>
      <x:c r="N83" s="138"/>
      <x:c r="O83" s="138"/>
      <x:c r="P83" s="138"/>
      <x:c r="Q83" s="138"/>
      <x:c r="R83" s="138"/>
      <x:c r="S83" s="138"/>
      <x:c r="T83" s="138"/>
      <x:c r="U83" s="138"/>
      <x:c r="V83" s="138"/>
      <x:c r="W83" s="138"/>
      <x:c r="X83" s="138"/>
      <x:c r="Y83" s="138"/>
      <x:c r="Z83" s="138"/>
    </x:row>
    <x:row r="84">
      <x:c r="A84" s="138"/>
      <x:c r="B84" s="138"/>
      <x:c r="C84" s="138"/>
      <x:c r="D84" s="138"/>
      <x:c r="E84" s="138"/>
      <x:c r="F84" s="138"/>
      <x:c r="G84" s="138"/>
      <x:c r="H84" s="138"/>
      <x:c r="I84" s="138"/>
      <x:c r="J84" s="138"/>
      <x:c r="K84" s="138"/>
      <x:c r="L84" s="138"/>
      <x:c r="M84" s="138"/>
      <x:c r="N84" s="138"/>
      <x:c r="O84" s="138"/>
      <x:c r="P84" s="138"/>
      <x:c r="Q84" s="138"/>
      <x:c r="R84" s="138"/>
      <x:c r="S84" s="138"/>
      <x:c r="T84" s="138"/>
      <x:c r="U84" s="138"/>
      <x:c r="V84" s="138"/>
      <x:c r="W84" s="138"/>
      <x:c r="X84" s="138"/>
      <x:c r="Y84" s="138"/>
      <x:c r="Z84" s="138"/>
    </x:row>
    <x:row r="85">
      <x:c r="A85" s="138"/>
      <x:c r="B85" s="138"/>
      <x:c r="C85" s="138"/>
      <x:c r="D85" s="138"/>
      <x:c r="E85" s="138"/>
      <x:c r="F85" s="138"/>
      <x:c r="G85" s="138"/>
      <x:c r="H85" s="138"/>
      <x:c r="I85" s="138"/>
      <x:c r="J85" s="138"/>
      <x:c r="K85" s="138"/>
      <x:c r="L85" s="138"/>
      <x:c r="M85" s="138"/>
      <x:c r="N85" s="138"/>
      <x:c r="O85" s="138"/>
      <x:c r="P85" s="138"/>
      <x:c r="Q85" s="138"/>
      <x:c r="R85" s="138"/>
      <x:c r="S85" s="138"/>
      <x:c r="T85" s="138"/>
      <x:c r="U85" s="138"/>
      <x:c r="V85" s="138"/>
      <x:c r="W85" s="138"/>
      <x:c r="X85" s="138"/>
      <x:c r="Y85" s="138"/>
      <x:c r="Z85" s="138"/>
    </x:row>
    <x:row r="86">
      <x:c r="A86" s="138"/>
      <x:c r="B86" s="138"/>
      <x:c r="C86" s="138"/>
      <x:c r="D86" s="138"/>
      <x:c r="E86" s="138"/>
      <x:c r="F86" s="138"/>
      <x:c r="G86" s="138"/>
      <x:c r="H86" s="138"/>
      <x:c r="I86" s="138"/>
      <x:c r="J86" s="138"/>
      <x:c r="K86" s="138"/>
      <x:c r="L86" s="138"/>
      <x:c r="M86" s="138"/>
      <x:c r="N86" s="138"/>
      <x:c r="O86" s="138"/>
      <x:c r="P86" s="138"/>
      <x:c r="Q86" s="138"/>
      <x:c r="R86" s="138"/>
      <x:c r="S86" s="138"/>
      <x:c r="T86" s="138"/>
      <x:c r="U86" s="138"/>
      <x:c r="V86" s="138"/>
      <x:c r="W86" s="138"/>
      <x:c r="X86" s="138"/>
      <x:c r="Y86" s="138"/>
      <x:c r="Z86" s="138"/>
    </x:row>
    <x:row r="87">
      <x:c r="A87" s="138"/>
      <x:c r="B87" s="138"/>
      <x:c r="C87" s="138"/>
      <x:c r="D87" s="138"/>
      <x:c r="E87" s="138"/>
      <x:c r="F87" s="138"/>
      <x:c r="G87" s="138"/>
      <x:c r="H87" s="138"/>
      <x:c r="I87" s="138"/>
      <x:c r="J87" s="138"/>
      <x:c r="K87" s="138"/>
      <x:c r="L87" s="138"/>
      <x:c r="M87" s="138"/>
      <x:c r="N87" s="138"/>
      <x:c r="O87" s="138"/>
      <x:c r="P87" s="138"/>
      <x:c r="Q87" s="138"/>
      <x:c r="R87" s="138"/>
      <x:c r="S87" s="138"/>
      <x:c r="T87" s="138"/>
      <x:c r="U87" s="138"/>
      <x:c r="V87" s="138"/>
      <x:c r="W87" s="138"/>
      <x:c r="X87" s="138"/>
      <x:c r="Y87" s="138"/>
      <x:c r="Z87" s="138"/>
    </x:row>
    <x:row r="88">
      <x:c r="A88" s="138"/>
      <x:c r="B88" s="138"/>
      <x:c r="C88" s="138"/>
      <x:c r="D88" s="138"/>
      <x:c r="E88" s="138"/>
      <x:c r="F88" s="138"/>
      <x:c r="G88" s="138"/>
      <x:c r="H88" s="138"/>
      <x:c r="I88" s="138"/>
      <x:c r="J88" s="138"/>
      <x:c r="K88" s="138"/>
      <x:c r="L88" s="138"/>
      <x:c r="M88" s="138"/>
      <x:c r="N88" s="138"/>
      <x:c r="O88" s="138"/>
      <x:c r="P88" s="138"/>
      <x:c r="Q88" s="138"/>
      <x:c r="R88" s="138"/>
      <x:c r="S88" s="138"/>
      <x:c r="T88" s="138"/>
      <x:c r="U88" s="138"/>
      <x:c r="V88" s="138"/>
      <x:c r="W88" s="138"/>
      <x:c r="X88" s="138"/>
      <x:c r="Y88" s="138"/>
      <x:c r="Z88" s="138"/>
    </x:row>
    <x:row r="89">
      <x:c r="A89" s="138"/>
      <x:c r="B89" s="138"/>
      <x:c r="C89" s="138"/>
      <x:c r="D89" s="138"/>
      <x:c r="E89" s="138"/>
      <x:c r="F89" s="138"/>
      <x:c r="G89" s="138"/>
      <x:c r="H89" s="138"/>
      <x:c r="I89" s="138"/>
      <x:c r="J89" s="138"/>
      <x:c r="K89" s="138"/>
      <x:c r="L89" s="138"/>
      <x:c r="M89" s="138"/>
      <x:c r="N89" s="138"/>
      <x:c r="O89" s="138"/>
      <x:c r="P89" s="138"/>
      <x:c r="Q89" s="138"/>
      <x:c r="R89" s="138"/>
      <x:c r="S89" s="138"/>
      <x:c r="T89" s="138"/>
      <x:c r="U89" s="138"/>
      <x:c r="V89" s="138"/>
      <x:c r="W89" s="138"/>
      <x:c r="X89" s="138"/>
      <x:c r="Y89" s="138"/>
      <x:c r="Z89" s="138"/>
    </x:row>
    <x:row r="90">
      <x:c r="A90" s="138"/>
      <x:c r="B90" s="138"/>
      <x:c r="C90" s="138"/>
      <x:c r="D90" s="138"/>
      <x:c r="E90" s="138"/>
      <x:c r="F90" s="138"/>
      <x:c r="G90" s="138"/>
      <x:c r="H90" s="138"/>
      <x:c r="I90" s="138"/>
      <x:c r="J90" s="138"/>
      <x:c r="K90" s="138"/>
      <x:c r="L90" s="138"/>
      <x:c r="M90" s="138"/>
      <x:c r="N90" s="138"/>
      <x:c r="O90" s="138"/>
      <x:c r="P90" s="138"/>
      <x:c r="Q90" s="138"/>
      <x:c r="R90" s="138"/>
      <x:c r="S90" s="138"/>
      <x:c r="T90" s="138"/>
      <x:c r="U90" s="138"/>
      <x:c r="V90" s="138"/>
      <x:c r="W90" s="138"/>
      <x:c r="X90" s="138"/>
      <x:c r="Y90" s="138"/>
      <x:c r="Z90" s="138"/>
    </x:row>
    <x:row r="91">
      <x:c r="A91" s="138"/>
      <x:c r="B91" s="138"/>
      <x:c r="C91" s="138"/>
      <x:c r="D91" s="138"/>
      <x:c r="E91" s="138"/>
      <x:c r="F91" s="138"/>
      <x:c r="G91" s="138"/>
      <x:c r="H91" s="138"/>
      <x:c r="I91" s="138"/>
      <x:c r="J91" s="138"/>
      <x:c r="K91" s="138"/>
      <x:c r="L91" s="138"/>
      <x:c r="M91" s="138"/>
      <x:c r="N91" s="138"/>
      <x:c r="O91" s="138"/>
      <x:c r="P91" s="138"/>
      <x:c r="Q91" s="138"/>
      <x:c r="R91" s="138"/>
      <x:c r="S91" s="138"/>
      <x:c r="T91" s="138"/>
      <x:c r="U91" s="138"/>
      <x:c r="V91" s="138"/>
      <x:c r="W91" s="138"/>
      <x:c r="X91" s="138"/>
      <x:c r="Y91" s="138"/>
      <x:c r="Z91" s="138"/>
    </x:row>
    <x:row r="92">
      <x:c r="A92" s="138"/>
      <x:c r="B92" s="138"/>
      <x:c r="C92" s="138"/>
      <x:c r="D92" s="138"/>
      <x:c r="E92" s="138"/>
      <x:c r="F92" s="138"/>
      <x:c r="G92" s="138"/>
      <x:c r="H92" s="138"/>
      <x:c r="I92" s="138"/>
      <x:c r="J92" s="138"/>
      <x:c r="K92" s="138"/>
      <x:c r="L92" s="138"/>
      <x:c r="M92" s="138"/>
      <x:c r="N92" s="138"/>
      <x:c r="O92" s="138"/>
      <x:c r="P92" s="138"/>
      <x:c r="Q92" s="138"/>
      <x:c r="R92" s="138"/>
      <x:c r="S92" s="138"/>
      <x:c r="T92" s="138"/>
      <x:c r="U92" s="138"/>
      <x:c r="V92" s="138"/>
      <x:c r="W92" s="138"/>
      <x:c r="X92" s="138"/>
      <x:c r="Y92" s="138"/>
      <x:c r="Z92" s="138"/>
    </x:row>
    <x:row r="93">
      <x:c r="A93" s="138"/>
      <x:c r="B93" s="138"/>
      <x:c r="C93" s="138"/>
      <x:c r="D93" s="138"/>
      <x:c r="E93" s="138"/>
      <x:c r="F93" s="138"/>
      <x:c r="G93" s="138"/>
      <x:c r="H93" s="138"/>
      <x:c r="I93" s="138"/>
      <x:c r="J93" s="138"/>
      <x:c r="K93" s="138"/>
      <x:c r="L93" s="138"/>
      <x:c r="M93" s="138"/>
      <x:c r="N93" s="138"/>
      <x:c r="O93" s="138"/>
      <x:c r="P93" s="138"/>
      <x:c r="Q93" s="138"/>
      <x:c r="R93" s="138"/>
      <x:c r="S93" s="138"/>
      <x:c r="T93" s="138"/>
      <x:c r="U93" s="138"/>
      <x:c r="V93" s="138"/>
      <x:c r="W93" s="138"/>
      <x:c r="X93" s="138"/>
      <x:c r="Y93" s="138"/>
      <x:c r="Z93" s="138"/>
    </x:row>
    <x:row r="94">
      <x:c r="A94" s="138"/>
      <x:c r="B94" s="138"/>
      <x:c r="C94" s="138"/>
      <x:c r="D94" s="138"/>
      <x:c r="E94" s="138"/>
      <x:c r="F94" s="138"/>
      <x:c r="G94" s="138"/>
      <x:c r="H94" s="138"/>
      <x:c r="I94" s="138"/>
      <x:c r="J94" s="138"/>
      <x:c r="K94" s="138"/>
      <x:c r="L94" s="138"/>
      <x:c r="M94" s="138"/>
      <x:c r="N94" s="138"/>
      <x:c r="O94" s="138"/>
      <x:c r="P94" s="138"/>
      <x:c r="Q94" s="138"/>
      <x:c r="R94" s="138"/>
      <x:c r="S94" s="138"/>
      <x:c r="T94" s="138"/>
      <x:c r="U94" s="138"/>
      <x:c r="V94" s="138"/>
      <x:c r="W94" s="138"/>
      <x:c r="X94" s="138"/>
      <x:c r="Y94" s="138"/>
      <x:c r="Z94" s="138"/>
    </x:row>
    <x:row r="95">
      <x:c r="A95" s="138"/>
      <x:c r="B95" s="138"/>
      <x:c r="C95" s="138"/>
      <x:c r="D95" s="138"/>
      <x:c r="E95" s="138"/>
      <x:c r="F95" s="138"/>
      <x:c r="G95" s="138"/>
      <x:c r="H95" s="138"/>
      <x:c r="I95" s="138"/>
      <x:c r="J95" s="138"/>
      <x:c r="K95" s="138"/>
      <x:c r="L95" s="138"/>
      <x:c r="M95" s="138"/>
      <x:c r="N95" s="138"/>
      <x:c r="O95" s="138"/>
      <x:c r="P95" s="138"/>
      <x:c r="Q95" s="138"/>
      <x:c r="R95" s="138"/>
      <x:c r="S95" s="138"/>
      <x:c r="T95" s="138"/>
      <x:c r="U95" s="138"/>
      <x:c r="V95" s="138"/>
      <x:c r="W95" s="138"/>
      <x:c r="X95" s="138"/>
      <x:c r="Y95" s="138"/>
      <x:c r="Z95" s="138"/>
    </x:row>
    <x:row r="96">
      <x:c r="A96" s="138"/>
      <x:c r="B96" s="138"/>
      <x:c r="C96" s="138"/>
      <x:c r="D96" s="138"/>
      <x:c r="E96" s="138"/>
      <x:c r="F96" s="138"/>
      <x:c r="G96" s="138"/>
      <x:c r="H96" s="138"/>
      <x:c r="I96" s="138"/>
      <x:c r="J96" s="138"/>
      <x:c r="K96" s="138"/>
      <x:c r="L96" s="138"/>
      <x:c r="M96" s="138"/>
      <x:c r="N96" s="138"/>
      <x:c r="O96" s="138"/>
      <x:c r="P96" s="138"/>
      <x:c r="Q96" s="138"/>
      <x:c r="R96" s="138"/>
      <x:c r="S96" s="138"/>
      <x:c r="T96" s="138"/>
      <x:c r="U96" s="138"/>
      <x:c r="V96" s="138"/>
      <x:c r="W96" s="138"/>
      <x:c r="X96" s="138"/>
      <x:c r="Y96" s="138"/>
      <x:c r="Z96" s="138"/>
    </x:row>
    <x:row r="97">
      <x:c r="A97" s="138"/>
      <x:c r="B97" s="138"/>
      <x:c r="C97" s="138"/>
      <x:c r="D97" s="138"/>
      <x:c r="E97" s="138"/>
      <x:c r="F97" s="138"/>
      <x:c r="G97" s="138"/>
      <x:c r="H97" s="138"/>
      <x:c r="I97" s="138"/>
      <x:c r="J97" s="138"/>
      <x:c r="K97" s="138"/>
      <x:c r="L97" s="138"/>
      <x:c r="M97" s="138"/>
      <x:c r="N97" s="138"/>
      <x:c r="O97" s="138"/>
      <x:c r="P97" s="138"/>
      <x:c r="Q97" s="138"/>
      <x:c r="R97" s="138"/>
      <x:c r="S97" s="138"/>
      <x:c r="T97" s="138"/>
      <x:c r="U97" s="138"/>
      <x:c r="V97" s="138"/>
      <x:c r="W97" s="138"/>
      <x:c r="X97" s="138"/>
      <x:c r="Y97" s="138"/>
      <x:c r="Z97" s="138"/>
    </x:row>
    <x:row r="98">
      <x:c r="A98" s="138"/>
      <x:c r="B98" s="138"/>
      <x:c r="C98" s="138"/>
      <x:c r="D98" s="138"/>
      <x:c r="E98" s="138"/>
      <x:c r="F98" s="138"/>
      <x:c r="G98" s="138"/>
      <x:c r="H98" s="138"/>
      <x:c r="I98" s="138"/>
      <x:c r="J98" s="138"/>
      <x:c r="K98" s="138"/>
      <x:c r="L98" s="138"/>
      <x:c r="M98" s="138"/>
      <x:c r="N98" s="138"/>
      <x:c r="O98" s="138"/>
      <x:c r="P98" s="138"/>
      <x:c r="Q98" s="138"/>
      <x:c r="R98" s="138"/>
      <x:c r="S98" s="138"/>
      <x:c r="T98" s="138"/>
      <x:c r="U98" s="138"/>
      <x:c r="V98" s="138"/>
      <x:c r="W98" s="138"/>
      <x:c r="X98" s="138"/>
      <x:c r="Y98" s="138"/>
      <x:c r="Z98" s="138"/>
    </x:row>
    <x:row r="99">
      <x:c r="A99" s="138"/>
      <x:c r="B99" s="138"/>
      <x:c r="C99" s="138"/>
      <x:c r="D99" s="138"/>
      <x:c r="E99" s="138"/>
      <x:c r="F99" s="138"/>
      <x:c r="G99" s="138"/>
      <x:c r="H99" s="138"/>
      <x:c r="I99" s="138"/>
      <x:c r="J99" s="138"/>
      <x:c r="K99" s="138"/>
      <x:c r="L99" s="138"/>
      <x:c r="M99" s="138"/>
      <x:c r="N99" s="138"/>
      <x:c r="O99" s="138"/>
      <x:c r="P99" s="138"/>
      <x:c r="Q99" s="138"/>
      <x:c r="R99" s="138"/>
      <x:c r="S99" s="138"/>
      <x:c r="T99" s="138"/>
      <x:c r="U99" s="138"/>
      <x:c r="V99" s="138"/>
      <x:c r="W99" s="138"/>
      <x:c r="X99" s="138"/>
      <x:c r="Y99" s="138"/>
      <x:c r="Z99" s="138"/>
    </x:row>
    <x:row r="100">
      <x:c r="A100" s="138"/>
      <x:c r="B100" s="138"/>
      <x:c r="C100" s="138"/>
      <x:c r="D100" s="138"/>
      <x:c r="E100" s="138"/>
      <x:c r="F100" s="138"/>
      <x:c r="G100" s="138"/>
      <x:c r="H100" s="138"/>
      <x:c r="I100" s="138"/>
      <x:c r="J100" s="138"/>
      <x:c r="K100" s="138"/>
      <x:c r="L100" s="138"/>
      <x:c r="M100" s="138"/>
      <x:c r="N100" s="138"/>
      <x:c r="O100" s="138"/>
      <x:c r="P100" s="138"/>
      <x:c r="Q100" s="138"/>
      <x:c r="R100" s="138"/>
      <x:c r="S100" s="138"/>
      <x:c r="T100" s="138"/>
      <x:c r="U100" s="138"/>
      <x:c r="V100" s="138"/>
      <x:c r="W100" s="138"/>
      <x:c r="X100" s="138"/>
      <x:c r="Y100" s="138"/>
      <x:c r="Z100" s="138"/>
    </x:row>
    <x:row r="101">
      <x:c r="A101" s="138"/>
      <x:c r="B101" s="138"/>
      <x:c r="C101" s="138"/>
      <x:c r="D101" s="138"/>
      <x:c r="E101" s="138"/>
      <x:c r="F101" s="138"/>
      <x:c r="G101" s="138"/>
      <x:c r="H101" s="138"/>
      <x:c r="I101" s="138"/>
      <x:c r="J101" s="138"/>
      <x:c r="K101" s="138"/>
      <x:c r="L101" s="138"/>
      <x:c r="M101" s="138"/>
      <x:c r="N101" s="138"/>
      <x:c r="O101" s="138"/>
      <x:c r="P101" s="138"/>
      <x:c r="Q101" s="138"/>
      <x:c r="R101" s="138"/>
      <x:c r="S101" s="138"/>
      <x:c r="T101" s="138"/>
      <x:c r="U101" s="138"/>
      <x:c r="V101" s="138"/>
      <x:c r="W101" s="138"/>
      <x:c r="X101" s="138"/>
      <x:c r="Y101" s="138"/>
      <x:c r="Z101" s="138"/>
    </x:row>
    <x:row r="102">
      <x:c r="A102" s="138"/>
      <x:c r="B102" s="138"/>
      <x:c r="C102" s="138"/>
      <x:c r="D102" s="138"/>
      <x:c r="E102" s="138"/>
      <x:c r="F102" s="138"/>
      <x:c r="G102" s="138"/>
      <x:c r="H102" s="138"/>
      <x:c r="I102" s="138"/>
      <x:c r="J102" s="138"/>
      <x:c r="K102" s="138"/>
      <x:c r="L102" s="138"/>
      <x:c r="M102" s="138"/>
      <x:c r="N102" s="138"/>
      <x:c r="O102" s="138"/>
      <x:c r="P102" s="138"/>
      <x:c r="Q102" s="138"/>
      <x:c r="R102" s="138"/>
      <x:c r="S102" s="138"/>
      <x:c r="T102" s="138"/>
      <x:c r="U102" s="138"/>
      <x:c r="V102" s="138"/>
      <x:c r="W102" s="138"/>
      <x:c r="X102" s="138"/>
      <x:c r="Y102" s="138"/>
      <x:c r="Z102" s="138"/>
    </x:row>
    <x:row r="103">
      <x:c r="A103" s="138"/>
      <x:c r="B103" s="138"/>
      <x:c r="C103" s="138"/>
      <x:c r="D103" s="138"/>
      <x:c r="E103" s="138"/>
      <x:c r="F103" s="138"/>
      <x:c r="G103" s="138"/>
      <x:c r="H103" s="138"/>
      <x:c r="I103" s="138"/>
      <x:c r="J103" s="138"/>
      <x:c r="K103" s="138"/>
      <x:c r="L103" s="138"/>
      <x:c r="M103" s="138"/>
      <x:c r="N103" s="138"/>
      <x:c r="O103" s="138"/>
      <x:c r="P103" s="138"/>
      <x:c r="Q103" s="138"/>
      <x:c r="R103" s="138"/>
      <x:c r="S103" s="138"/>
      <x:c r="T103" s="138"/>
      <x:c r="U103" s="138"/>
      <x:c r="V103" s="138"/>
      <x:c r="W103" s="138"/>
      <x:c r="X103" s="138"/>
      <x:c r="Y103" s="138"/>
      <x:c r="Z103" s="138"/>
    </x:row>
    <x:row r="104">
      <x:c r="A104" s="138"/>
      <x:c r="B104" s="138"/>
      <x:c r="C104" s="138"/>
      <x:c r="D104" s="138"/>
      <x:c r="E104" s="138"/>
      <x:c r="F104" s="138"/>
      <x:c r="G104" s="138"/>
      <x:c r="H104" s="138"/>
      <x:c r="I104" s="138"/>
      <x:c r="J104" s="138"/>
      <x:c r="K104" s="138"/>
      <x:c r="L104" s="138"/>
      <x:c r="M104" s="138"/>
      <x:c r="N104" s="138"/>
      <x:c r="O104" s="138"/>
      <x:c r="P104" s="138"/>
      <x:c r="Q104" s="138"/>
      <x:c r="R104" s="138"/>
      <x:c r="S104" s="138"/>
      <x:c r="T104" s="138"/>
      <x:c r="U104" s="138"/>
      <x:c r="V104" s="138"/>
      <x:c r="W104" s="138"/>
      <x:c r="X104" s="138"/>
      <x:c r="Y104" s="138"/>
      <x:c r="Z104" s="138"/>
    </x:row>
    <x:row r="105">
      <x:c r="A105" s="138"/>
      <x:c r="B105" s="138"/>
      <x:c r="C105" s="138"/>
      <x:c r="D105" s="138"/>
      <x:c r="E105" s="138"/>
      <x:c r="F105" s="138"/>
      <x:c r="G105" s="138"/>
      <x:c r="H105" s="138"/>
      <x:c r="I105" s="138"/>
      <x:c r="J105" s="138"/>
      <x:c r="K105" s="138"/>
      <x:c r="L105" s="138"/>
      <x:c r="M105" s="138"/>
      <x:c r="N105" s="138"/>
      <x:c r="O105" s="138"/>
      <x:c r="P105" s="138"/>
      <x:c r="Q105" s="138"/>
      <x:c r="R105" s="138"/>
      <x:c r="S105" s="138"/>
      <x:c r="T105" s="138"/>
      <x:c r="U105" s="138"/>
      <x:c r="V105" s="138"/>
      <x:c r="W105" s="138"/>
      <x:c r="X105" s="138"/>
      <x:c r="Y105" s="138"/>
      <x:c r="Z105" s="138"/>
    </x:row>
    <x:row r="106">
      <x:c r="A106" s="138"/>
      <x:c r="B106" s="138"/>
      <x:c r="C106" s="138"/>
      <x:c r="D106" s="138"/>
      <x:c r="E106" s="138"/>
      <x:c r="F106" s="138"/>
      <x:c r="G106" s="138"/>
      <x:c r="H106" s="138"/>
      <x:c r="I106" s="138"/>
      <x:c r="J106" s="138"/>
      <x:c r="K106" s="138"/>
      <x:c r="L106" s="138"/>
      <x:c r="M106" s="138"/>
      <x:c r="N106" s="138"/>
      <x:c r="O106" s="138"/>
      <x:c r="P106" s="138"/>
      <x:c r="Q106" s="138"/>
      <x:c r="R106" s="138"/>
      <x:c r="S106" s="138"/>
      <x:c r="T106" s="138"/>
      <x:c r="U106" s="138"/>
      <x:c r="V106" s="138"/>
      <x:c r="W106" s="138"/>
      <x:c r="X106" s="138"/>
      <x:c r="Y106" s="138"/>
      <x:c r="Z106" s="138"/>
    </x:row>
    <x:row r="107">
      <x:c r="A107" s="138"/>
      <x:c r="B107" s="138"/>
      <x:c r="C107" s="138"/>
      <x:c r="D107" s="138"/>
      <x:c r="E107" s="138"/>
      <x:c r="F107" s="138"/>
      <x:c r="G107" s="138"/>
      <x:c r="H107" s="138"/>
      <x:c r="I107" s="138"/>
      <x:c r="J107" s="138"/>
      <x:c r="K107" s="138"/>
      <x:c r="L107" s="138"/>
      <x:c r="M107" s="138"/>
      <x:c r="N107" s="138"/>
      <x:c r="O107" s="138"/>
      <x:c r="P107" s="138"/>
      <x:c r="Q107" s="138"/>
      <x:c r="R107" s="138"/>
      <x:c r="S107" s="138"/>
      <x:c r="T107" s="138"/>
      <x:c r="U107" s="138"/>
      <x:c r="V107" s="138"/>
      <x:c r="W107" s="138"/>
      <x:c r="X107" s="138"/>
      <x:c r="Y107" s="138"/>
      <x:c r="Z107" s="138"/>
    </x:row>
    <x:row r="108">
      <x:c r="A108" s="138"/>
      <x:c r="B108" s="138"/>
      <x:c r="C108" s="138"/>
      <x:c r="D108" s="138"/>
      <x:c r="E108" s="138"/>
      <x:c r="F108" s="138"/>
      <x:c r="G108" s="138"/>
      <x:c r="H108" s="138"/>
      <x:c r="I108" s="138"/>
      <x:c r="J108" s="138"/>
      <x:c r="K108" s="138"/>
      <x:c r="L108" s="138"/>
      <x:c r="M108" s="138"/>
      <x:c r="N108" s="138"/>
      <x:c r="O108" s="138"/>
      <x:c r="P108" s="138"/>
      <x:c r="Q108" s="138"/>
      <x:c r="R108" s="138"/>
      <x:c r="S108" s="138"/>
      <x:c r="T108" s="138"/>
      <x:c r="U108" s="138"/>
      <x:c r="V108" s="138"/>
      <x:c r="W108" s="138"/>
      <x:c r="X108" s="138"/>
      <x:c r="Y108" s="138"/>
      <x:c r="Z108" s="138"/>
    </x:row>
    <x:row r="109">
      <x:c r="A109" s="138"/>
      <x:c r="B109" s="138"/>
      <x:c r="C109" s="138"/>
      <x:c r="D109" s="138"/>
      <x:c r="E109" s="138"/>
      <x:c r="F109" s="138"/>
      <x:c r="G109" s="138"/>
      <x:c r="H109" s="138"/>
      <x:c r="I109" s="138"/>
      <x:c r="J109" s="138"/>
      <x:c r="K109" s="138"/>
      <x:c r="L109" s="138"/>
      <x:c r="M109" s="138"/>
      <x:c r="N109" s="138"/>
      <x:c r="O109" s="138"/>
      <x:c r="P109" s="138"/>
      <x:c r="Q109" s="138"/>
      <x:c r="R109" s="138"/>
      <x:c r="S109" s="138"/>
      <x:c r="T109" s="138"/>
      <x:c r="U109" s="138"/>
      <x:c r="V109" s="138"/>
      <x:c r="W109" s="138"/>
      <x:c r="X109" s="138"/>
      <x:c r="Y109" s="138"/>
      <x:c r="Z109" s="138"/>
    </x:row>
    <x:row r="110">
      <x:c r="A110" s="138"/>
      <x:c r="B110" s="138"/>
      <x:c r="C110" s="138"/>
      <x:c r="D110" s="138"/>
      <x:c r="E110" s="138"/>
      <x:c r="F110" s="138"/>
      <x:c r="G110" s="138"/>
      <x:c r="H110" s="138"/>
      <x:c r="I110" s="138"/>
      <x:c r="J110" s="138"/>
      <x:c r="K110" s="138"/>
      <x:c r="L110" s="138"/>
      <x:c r="M110" s="138"/>
      <x:c r="N110" s="138"/>
      <x:c r="O110" s="138"/>
      <x:c r="P110" s="138"/>
      <x:c r="Q110" s="138"/>
      <x:c r="R110" s="138"/>
      <x:c r="S110" s="138"/>
      <x:c r="T110" s="138"/>
      <x:c r="U110" s="138"/>
      <x:c r="V110" s="138"/>
      <x:c r="W110" s="138"/>
      <x:c r="X110" s="138"/>
      <x:c r="Y110" s="138"/>
      <x:c r="Z110" s="138"/>
    </x:row>
    <x:row r="111">
      <x:c r="A111" s="138"/>
      <x:c r="B111" s="138"/>
      <x:c r="C111" s="138"/>
      <x:c r="D111" s="138"/>
      <x:c r="E111" s="138"/>
      <x:c r="F111" s="138"/>
      <x:c r="G111" s="138"/>
      <x:c r="H111" s="138"/>
      <x:c r="I111" s="138"/>
      <x:c r="J111" s="138"/>
      <x:c r="K111" s="138"/>
      <x:c r="L111" s="138"/>
      <x:c r="M111" s="138"/>
      <x:c r="N111" s="138"/>
      <x:c r="O111" s="138"/>
      <x:c r="P111" s="138"/>
      <x:c r="Q111" s="138"/>
      <x:c r="R111" s="138"/>
      <x:c r="S111" s="138"/>
      <x:c r="T111" s="138"/>
      <x:c r="U111" s="138"/>
      <x:c r="V111" s="138"/>
      <x:c r="W111" s="138"/>
      <x:c r="X111" s="138"/>
      <x:c r="Y111" s="138"/>
      <x:c r="Z111" s="138"/>
    </x:row>
    <x:row r="112">
      <x:c r="A112" s="138"/>
      <x:c r="B112" s="138"/>
      <x:c r="C112" s="138"/>
      <x:c r="D112" s="138"/>
      <x:c r="E112" s="138"/>
      <x:c r="F112" s="138"/>
      <x:c r="G112" s="138"/>
      <x:c r="H112" s="138"/>
      <x:c r="I112" s="138"/>
      <x:c r="J112" s="138"/>
      <x:c r="K112" s="138"/>
      <x:c r="L112" s="138"/>
      <x:c r="M112" s="138"/>
      <x:c r="N112" s="138"/>
      <x:c r="O112" s="138"/>
      <x:c r="P112" s="138"/>
      <x:c r="Q112" s="138"/>
      <x:c r="R112" s="138"/>
      <x:c r="S112" s="138"/>
      <x:c r="T112" s="138"/>
      <x:c r="U112" s="138"/>
      <x:c r="V112" s="138"/>
      <x:c r="W112" s="138"/>
      <x:c r="X112" s="138"/>
      <x:c r="Y112" s="138"/>
      <x:c r="Z112" s="138"/>
    </x:row>
    <x:row r="113">
      <x:c r="A113" s="138"/>
      <x:c r="B113" s="138"/>
      <x:c r="C113" s="138"/>
      <x:c r="D113" s="138"/>
      <x:c r="E113" s="138"/>
      <x:c r="F113" s="138"/>
      <x:c r="G113" s="138"/>
      <x:c r="H113" s="138"/>
      <x:c r="I113" s="138"/>
      <x:c r="J113" s="138"/>
      <x:c r="K113" s="138"/>
      <x:c r="L113" s="138"/>
      <x:c r="M113" s="138"/>
      <x:c r="N113" s="138"/>
      <x:c r="O113" s="138"/>
      <x:c r="P113" s="138"/>
      <x:c r="Q113" s="138"/>
      <x:c r="R113" s="138"/>
      <x:c r="S113" s="138"/>
      <x:c r="T113" s="138"/>
      <x:c r="U113" s="138"/>
      <x:c r="V113" s="138"/>
      <x:c r="W113" s="138"/>
      <x:c r="X113" s="138"/>
      <x:c r="Y113" s="138"/>
      <x:c r="Z113" s="138"/>
    </x:row>
    <x:row r="114">
      <x:c r="A114" s="138"/>
      <x:c r="B114" s="138"/>
      <x:c r="C114" s="138"/>
      <x:c r="D114" s="138"/>
      <x:c r="E114" s="138"/>
      <x:c r="F114" s="138"/>
      <x:c r="G114" s="138"/>
      <x:c r="H114" s="138"/>
      <x:c r="I114" s="138"/>
      <x:c r="J114" s="138"/>
      <x:c r="K114" s="138"/>
      <x:c r="L114" s="138"/>
      <x:c r="M114" s="138"/>
      <x:c r="N114" s="138"/>
      <x:c r="O114" s="138"/>
      <x:c r="P114" s="138"/>
      <x:c r="Q114" s="138"/>
      <x:c r="R114" s="138"/>
      <x:c r="S114" s="138"/>
      <x:c r="T114" s="138"/>
      <x:c r="U114" s="138"/>
      <x:c r="V114" s="138"/>
      <x:c r="W114" s="138"/>
      <x:c r="X114" s="138"/>
      <x:c r="Y114" s="138"/>
      <x:c r="Z114" s="138"/>
    </x:row>
    <x:row r="115">
      <x:c r="A115" s="138"/>
      <x:c r="B115" s="138"/>
      <x:c r="C115" s="138"/>
      <x:c r="D115" s="138"/>
      <x:c r="E115" s="138"/>
      <x:c r="F115" s="138"/>
      <x:c r="G115" s="138"/>
      <x:c r="H115" s="138"/>
      <x:c r="I115" s="138"/>
      <x:c r="J115" s="138"/>
      <x:c r="K115" s="138"/>
      <x:c r="L115" s="138"/>
      <x:c r="M115" s="138"/>
      <x:c r="N115" s="138"/>
      <x:c r="O115" s="138"/>
      <x:c r="P115" s="138"/>
      <x:c r="Q115" s="138"/>
      <x:c r="R115" s="138"/>
      <x:c r="S115" s="138"/>
      <x:c r="T115" s="138"/>
      <x:c r="U115" s="138"/>
      <x:c r="V115" s="138"/>
      <x:c r="W115" s="138"/>
      <x:c r="X115" s="138"/>
      <x:c r="Y115" s="138"/>
      <x:c r="Z115" s="138"/>
    </x:row>
    <x:row r="116">
      <x:c r="A116" s="138"/>
      <x:c r="B116" s="138"/>
      <x:c r="C116" s="138"/>
      <x:c r="D116" s="138"/>
      <x:c r="E116" s="138"/>
      <x:c r="F116" s="138"/>
      <x:c r="G116" s="138"/>
      <x:c r="H116" s="138"/>
      <x:c r="I116" s="138"/>
      <x:c r="J116" s="138"/>
      <x:c r="K116" s="138"/>
      <x:c r="L116" s="138"/>
      <x:c r="M116" s="138"/>
      <x:c r="N116" s="138"/>
      <x:c r="O116" s="138"/>
      <x:c r="P116" s="138"/>
      <x:c r="Q116" s="138"/>
      <x:c r="R116" s="138"/>
      <x:c r="S116" s="138"/>
      <x:c r="T116" s="138"/>
      <x:c r="U116" s="138"/>
      <x:c r="V116" s="138"/>
      <x:c r="W116" s="138"/>
      <x:c r="X116" s="138"/>
      <x:c r="Y116" s="138"/>
      <x:c r="Z116" s="138"/>
    </x:row>
    <x:row r="117">
      <x:c r="A117" s="138"/>
      <x:c r="B117" s="138"/>
      <x:c r="C117" s="138"/>
      <x:c r="D117" s="138"/>
      <x:c r="E117" s="138"/>
      <x:c r="F117" s="138"/>
      <x:c r="G117" s="138"/>
      <x:c r="H117" s="138"/>
      <x:c r="I117" s="138"/>
      <x:c r="J117" s="138"/>
      <x:c r="K117" s="138"/>
      <x:c r="L117" s="138"/>
      <x:c r="M117" s="138"/>
      <x:c r="N117" s="138"/>
      <x:c r="O117" s="138"/>
      <x:c r="P117" s="138"/>
      <x:c r="Q117" s="138"/>
      <x:c r="R117" s="138"/>
      <x:c r="S117" s="138"/>
      <x:c r="T117" s="138"/>
      <x:c r="U117" s="138"/>
      <x:c r="V117" s="138"/>
      <x:c r="W117" s="138"/>
      <x:c r="X117" s="138"/>
      <x:c r="Y117" s="138"/>
      <x:c r="Z117" s="138"/>
    </x:row>
    <x:row r="118">
      <x:c r="A118" s="138"/>
      <x:c r="B118" s="138"/>
      <x:c r="C118" s="138"/>
      <x:c r="D118" s="138"/>
      <x:c r="E118" s="138"/>
      <x:c r="F118" s="138"/>
      <x:c r="G118" s="138"/>
      <x:c r="H118" s="138"/>
      <x:c r="I118" s="138"/>
      <x:c r="J118" s="138"/>
      <x:c r="K118" s="138"/>
      <x:c r="L118" s="138"/>
      <x:c r="M118" s="138"/>
      <x:c r="N118" s="138"/>
      <x:c r="O118" s="138"/>
      <x:c r="P118" s="138"/>
      <x:c r="Q118" s="138"/>
      <x:c r="R118" s="138"/>
      <x:c r="S118" s="138"/>
      <x:c r="T118" s="138"/>
      <x:c r="U118" s="138"/>
      <x:c r="V118" s="138"/>
      <x:c r="W118" s="138"/>
      <x:c r="X118" s="138"/>
      <x:c r="Y118" s="138"/>
      <x:c r="Z118" s="138"/>
    </x:row>
    <x:row r="119">
      <x:c r="A119" s="138"/>
      <x:c r="B119" s="138"/>
      <x:c r="C119" s="138"/>
      <x:c r="D119" s="138"/>
      <x:c r="E119" s="138"/>
      <x:c r="F119" s="138"/>
      <x:c r="G119" s="138"/>
      <x:c r="H119" s="138"/>
      <x:c r="I119" s="138"/>
      <x:c r="J119" s="138"/>
      <x:c r="K119" s="138"/>
      <x:c r="L119" s="138"/>
      <x:c r="M119" s="138"/>
      <x:c r="N119" s="138"/>
      <x:c r="O119" s="138"/>
      <x:c r="P119" s="138"/>
      <x:c r="Q119" s="138"/>
      <x:c r="R119" s="138"/>
      <x:c r="S119" s="138"/>
      <x:c r="T119" s="138"/>
      <x:c r="U119" s="138"/>
      <x:c r="V119" s="138"/>
      <x:c r="W119" s="138"/>
      <x:c r="X119" s="138"/>
      <x:c r="Y119" s="138"/>
      <x:c r="Z119" s="138"/>
    </x:row>
    <x:row r="120">
      <x:c r="A120" s="138"/>
      <x:c r="B120" s="138"/>
      <x:c r="C120" s="138"/>
      <x:c r="D120" s="138"/>
      <x:c r="E120" s="138"/>
      <x:c r="F120" s="138"/>
      <x:c r="G120" s="138"/>
      <x:c r="H120" s="138"/>
      <x:c r="I120" s="138"/>
      <x:c r="J120" s="138"/>
      <x:c r="K120" s="138"/>
      <x:c r="L120" s="138"/>
      <x:c r="M120" s="138"/>
      <x:c r="N120" s="138"/>
      <x:c r="O120" s="138"/>
      <x:c r="P120" s="138"/>
      <x:c r="Q120" s="138"/>
      <x:c r="R120" s="138"/>
      <x:c r="S120" s="138"/>
      <x:c r="T120" s="138"/>
      <x:c r="U120" s="138"/>
      <x:c r="V120" s="138"/>
      <x:c r="W120" s="138"/>
      <x:c r="X120" s="138"/>
      <x:c r="Y120" s="138"/>
      <x:c r="Z120" s="138"/>
    </x:row>
    <x:row r="121">
      <x:c r="A121" s="138"/>
      <x:c r="B121" s="138"/>
      <x:c r="C121" s="138"/>
      <x:c r="D121" s="138"/>
      <x:c r="E121" s="138"/>
      <x:c r="F121" s="138"/>
      <x:c r="G121" s="138"/>
      <x:c r="H121" s="138"/>
      <x:c r="I121" s="138"/>
      <x:c r="J121" s="138"/>
      <x:c r="K121" s="138"/>
      <x:c r="L121" s="138"/>
      <x:c r="M121" s="138"/>
      <x:c r="N121" s="138"/>
      <x:c r="O121" s="138"/>
      <x:c r="P121" s="138"/>
      <x:c r="Q121" s="138"/>
      <x:c r="R121" s="138"/>
      <x:c r="S121" s="138"/>
      <x:c r="T121" s="138"/>
      <x:c r="U121" s="138"/>
      <x:c r="V121" s="138"/>
      <x:c r="W121" s="138"/>
      <x:c r="X121" s="138"/>
      <x:c r="Y121" s="138"/>
      <x:c r="Z121" s="138"/>
    </x:row>
    <x:row r="122">
      <x:c r="A122" s="138"/>
      <x:c r="B122" s="138"/>
      <x:c r="C122" s="138"/>
      <x:c r="D122" s="138"/>
      <x:c r="E122" s="138"/>
      <x:c r="F122" s="138"/>
      <x:c r="G122" s="138"/>
      <x:c r="H122" s="138"/>
      <x:c r="I122" s="138"/>
      <x:c r="J122" s="138"/>
      <x:c r="K122" s="138"/>
      <x:c r="L122" s="138"/>
      <x:c r="M122" s="138"/>
      <x:c r="N122" s="138"/>
      <x:c r="O122" s="138"/>
      <x:c r="P122" s="138"/>
      <x:c r="Q122" s="138"/>
      <x:c r="R122" s="138"/>
      <x:c r="S122" s="138"/>
      <x:c r="T122" s="138"/>
      <x:c r="U122" s="138"/>
      <x:c r="V122" s="138"/>
      <x:c r="W122" s="138"/>
      <x:c r="X122" s="138"/>
      <x:c r="Y122" s="138"/>
      <x:c r="Z122" s="138"/>
    </x:row>
    <x:row r="123">
      <x:c r="A123" s="138"/>
      <x:c r="B123" s="138"/>
      <x:c r="C123" s="138"/>
      <x:c r="D123" s="138"/>
      <x:c r="E123" s="138"/>
      <x:c r="F123" s="138"/>
      <x:c r="G123" s="138"/>
      <x:c r="H123" s="138"/>
      <x:c r="I123" s="138"/>
      <x:c r="J123" s="138"/>
      <x:c r="K123" s="138"/>
      <x:c r="L123" s="138"/>
      <x:c r="M123" s="138"/>
      <x:c r="N123" s="138"/>
      <x:c r="O123" s="138"/>
      <x:c r="P123" s="138"/>
      <x:c r="Q123" s="138"/>
      <x:c r="R123" s="138"/>
      <x:c r="S123" s="138"/>
      <x:c r="T123" s="138"/>
      <x:c r="U123" s="138"/>
      <x:c r="V123" s="138"/>
      <x:c r="W123" s="138"/>
      <x:c r="X123" s="138"/>
      <x:c r="Y123" s="138"/>
      <x:c r="Z123" s="138"/>
    </x:row>
    <x:row r="124">
      <x:c r="A124" s="138"/>
      <x:c r="B124" s="138"/>
      <x:c r="C124" s="138"/>
      <x:c r="D124" s="138"/>
      <x:c r="E124" s="138"/>
      <x:c r="F124" s="138"/>
      <x:c r="G124" s="138"/>
      <x:c r="H124" s="138"/>
      <x:c r="I124" s="138"/>
      <x:c r="J124" s="138"/>
      <x:c r="K124" s="138"/>
      <x:c r="L124" s="138"/>
      <x:c r="M124" s="138"/>
      <x:c r="N124" s="138"/>
      <x:c r="O124" s="138"/>
      <x:c r="P124" s="138"/>
      <x:c r="Q124" s="138"/>
      <x:c r="R124" s="138"/>
      <x:c r="S124" s="138"/>
      <x:c r="T124" s="138"/>
      <x:c r="U124" s="138"/>
      <x:c r="V124" s="138"/>
      <x:c r="W124" s="138"/>
      <x:c r="X124" s="138"/>
      <x:c r="Y124" s="138"/>
      <x:c r="Z124" s="138"/>
    </x:row>
    <x:row r="125">
      <x:c r="A125" s="138"/>
      <x:c r="B125" s="138"/>
      <x:c r="C125" s="138"/>
      <x:c r="D125" s="138"/>
      <x:c r="E125" s="138"/>
      <x:c r="F125" s="138"/>
      <x:c r="G125" s="138"/>
      <x:c r="H125" s="138"/>
      <x:c r="I125" s="138"/>
      <x:c r="J125" s="138"/>
      <x:c r="K125" s="138"/>
      <x:c r="L125" s="138"/>
      <x:c r="M125" s="138"/>
      <x:c r="N125" s="138"/>
      <x:c r="O125" s="138"/>
      <x:c r="P125" s="138"/>
      <x:c r="Q125" s="138"/>
      <x:c r="R125" s="138"/>
      <x:c r="S125" s="138"/>
      <x:c r="T125" s="138"/>
      <x:c r="U125" s="138"/>
      <x:c r="V125" s="138"/>
      <x:c r="W125" s="138"/>
      <x:c r="X125" s="138"/>
      <x:c r="Y125" s="138"/>
      <x:c r="Z125" s="138"/>
    </x:row>
    <x:row r="126">
      <x:c r="A126" s="138"/>
      <x:c r="B126" s="138"/>
      <x:c r="C126" s="138"/>
      <x:c r="D126" s="138"/>
      <x:c r="E126" s="138"/>
      <x:c r="F126" s="138"/>
      <x:c r="G126" s="138"/>
      <x:c r="H126" s="138"/>
      <x:c r="I126" s="138"/>
      <x:c r="J126" s="138"/>
      <x:c r="K126" s="138"/>
      <x:c r="L126" s="138"/>
      <x:c r="M126" s="138"/>
      <x:c r="N126" s="138"/>
      <x:c r="O126" s="138"/>
      <x:c r="P126" s="138"/>
      <x:c r="Q126" s="138"/>
      <x:c r="R126" s="138"/>
      <x:c r="S126" s="138"/>
      <x:c r="T126" s="138"/>
      <x:c r="U126" s="138"/>
      <x:c r="V126" s="138"/>
      <x:c r="W126" s="138"/>
      <x:c r="X126" s="138"/>
      <x:c r="Y126" s="138"/>
      <x:c r="Z126" s="138"/>
    </x:row>
    <x:row r="127">
      <x:c r="A127" s="138"/>
      <x:c r="B127" s="138"/>
      <x:c r="C127" s="138"/>
      <x:c r="D127" s="138"/>
      <x:c r="E127" s="138"/>
      <x:c r="F127" s="138"/>
      <x:c r="G127" s="138"/>
      <x:c r="H127" s="138"/>
      <x:c r="I127" s="138"/>
      <x:c r="J127" s="138"/>
      <x:c r="K127" s="138"/>
      <x:c r="L127" s="138"/>
      <x:c r="M127" s="138"/>
      <x:c r="N127" s="138"/>
      <x:c r="O127" s="138"/>
      <x:c r="P127" s="138"/>
      <x:c r="Q127" s="138"/>
      <x:c r="R127" s="138"/>
      <x:c r="S127" s="138"/>
      <x:c r="T127" s="138"/>
      <x:c r="U127" s="138"/>
      <x:c r="V127" s="138"/>
      <x:c r="W127" s="138"/>
      <x:c r="X127" s="138"/>
      <x:c r="Y127" s="138"/>
      <x:c r="Z127" s="138"/>
    </x:row>
    <x:row r="128">
      <x:c r="A128" s="138"/>
      <x:c r="B128" s="138"/>
      <x:c r="C128" s="138"/>
      <x:c r="D128" s="138"/>
      <x:c r="E128" s="138"/>
      <x:c r="F128" s="138"/>
      <x:c r="G128" s="138"/>
      <x:c r="H128" s="138"/>
      <x:c r="I128" s="138"/>
      <x:c r="J128" s="138"/>
      <x:c r="K128" s="138"/>
      <x:c r="L128" s="138"/>
      <x:c r="M128" s="138"/>
      <x:c r="N128" s="138"/>
      <x:c r="O128" s="138"/>
      <x:c r="P128" s="138"/>
      <x:c r="Q128" s="138"/>
      <x:c r="R128" s="138"/>
      <x:c r="S128" s="138"/>
      <x:c r="T128" s="138"/>
      <x:c r="U128" s="138"/>
      <x:c r="V128" s="138"/>
      <x:c r="W128" s="138"/>
      <x:c r="X128" s="138"/>
      <x:c r="Y128" s="138"/>
      <x:c r="Z128" s="138"/>
    </x:row>
    <x:row r="129">
      <x:c r="A129" s="138"/>
      <x:c r="B129" s="138"/>
      <x:c r="C129" s="138"/>
      <x:c r="D129" s="138"/>
      <x:c r="E129" s="138"/>
      <x:c r="F129" s="138"/>
      <x:c r="G129" s="138"/>
      <x:c r="H129" s="138"/>
      <x:c r="I129" s="138"/>
      <x:c r="J129" s="138"/>
      <x:c r="K129" s="138"/>
      <x:c r="L129" s="138"/>
      <x:c r="M129" s="138"/>
      <x:c r="N129" s="138"/>
      <x:c r="O129" s="138"/>
      <x:c r="P129" s="138"/>
      <x:c r="Q129" s="138"/>
      <x:c r="R129" s="138"/>
      <x:c r="S129" s="138"/>
      <x:c r="T129" s="138"/>
      <x:c r="U129" s="138"/>
      <x:c r="V129" s="138"/>
      <x:c r="W129" s="138"/>
      <x:c r="X129" s="138"/>
      <x:c r="Y129" s="138"/>
      <x:c r="Z129" s="138"/>
    </x:row>
    <x:row r="130">
      <x:c r="A130" s="138"/>
      <x:c r="B130" s="138"/>
      <x:c r="C130" s="138"/>
      <x:c r="D130" s="138"/>
      <x:c r="E130" s="138"/>
      <x:c r="F130" s="138"/>
      <x:c r="G130" s="138"/>
      <x:c r="H130" s="138"/>
      <x:c r="I130" s="138"/>
      <x:c r="J130" s="138"/>
      <x:c r="K130" s="138"/>
      <x:c r="L130" s="138"/>
      <x:c r="M130" s="138"/>
      <x:c r="N130" s="138"/>
      <x:c r="O130" s="138"/>
      <x:c r="P130" s="138"/>
      <x:c r="Q130" s="138"/>
      <x:c r="R130" s="138"/>
      <x:c r="S130" s="138"/>
      <x:c r="T130" s="138"/>
      <x:c r="U130" s="138"/>
      <x:c r="V130" s="138"/>
      <x:c r="W130" s="138"/>
      <x:c r="X130" s="138"/>
      <x:c r="Y130" s="138"/>
      <x:c r="Z130" s="138"/>
    </x:row>
    <x:row r="131">
      <x:c r="A131" s="138"/>
      <x:c r="B131" s="138"/>
      <x:c r="C131" s="138"/>
      <x:c r="D131" s="138"/>
      <x:c r="E131" s="138"/>
      <x:c r="F131" s="138"/>
      <x:c r="G131" s="138"/>
      <x:c r="H131" s="138"/>
      <x:c r="I131" s="138"/>
      <x:c r="J131" s="138"/>
      <x:c r="K131" s="138"/>
      <x:c r="L131" s="138"/>
      <x:c r="M131" s="138"/>
      <x:c r="N131" s="138"/>
      <x:c r="O131" s="138"/>
      <x:c r="P131" s="138"/>
      <x:c r="Q131" s="138"/>
      <x:c r="R131" s="138"/>
      <x:c r="S131" s="138"/>
      <x:c r="T131" s="138"/>
      <x:c r="U131" s="138"/>
      <x:c r="V131" s="138"/>
      <x:c r="W131" s="138"/>
      <x:c r="X131" s="138"/>
      <x:c r="Y131" s="138"/>
      <x:c r="Z131" s="138"/>
    </x:row>
    <x:row r="132">
      <x:c r="A132" s="138"/>
      <x:c r="B132" s="138"/>
      <x:c r="C132" s="138"/>
      <x:c r="D132" s="138"/>
      <x:c r="E132" s="138"/>
      <x:c r="F132" s="138"/>
      <x:c r="G132" s="138"/>
      <x:c r="H132" s="138"/>
      <x:c r="I132" s="138"/>
      <x:c r="J132" s="138"/>
      <x:c r="K132" s="138"/>
      <x:c r="L132" s="138"/>
      <x:c r="M132" s="138"/>
      <x:c r="N132" s="138"/>
      <x:c r="O132" s="138"/>
      <x:c r="P132" s="138"/>
      <x:c r="Q132" s="138"/>
      <x:c r="R132" s="138"/>
      <x:c r="S132" s="138"/>
      <x:c r="T132" s="138"/>
      <x:c r="U132" s="138"/>
      <x:c r="V132" s="138"/>
      <x:c r="W132" s="138"/>
      <x:c r="X132" s="138"/>
      <x:c r="Y132" s="138"/>
      <x:c r="Z132" s="138"/>
    </x:row>
    <x:row r="133">
      <x:c r="A133" s="138"/>
      <x:c r="B133" s="138"/>
      <x:c r="C133" s="138"/>
      <x:c r="D133" s="138"/>
      <x:c r="E133" s="138"/>
      <x:c r="F133" s="138"/>
      <x:c r="G133" s="138"/>
      <x:c r="H133" s="138"/>
      <x:c r="I133" s="138"/>
      <x:c r="J133" s="138"/>
      <x:c r="K133" s="138"/>
      <x:c r="L133" s="138"/>
      <x:c r="M133" s="138"/>
      <x:c r="N133" s="138"/>
      <x:c r="O133" s="138"/>
      <x:c r="P133" s="138"/>
      <x:c r="Q133" s="138"/>
      <x:c r="R133" s="138"/>
      <x:c r="S133" s="138"/>
      <x:c r="T133" s="138"/>
      <x:c r="U133" s="138"/>
      <x:c r="V133" s="138"/>
      <x:c r="W133" s="138"/>
      <x:c r="X133" s="138"/>
      <x:c r="Y133" s="138"/>
      <x:c r="Z133" s="138"/>
    </x:row>
    <x:row r="134">
      <x:c r="A134" s="138"/>
      <x:c r="B134" s="138"/>
      <x:c r="C134" s="138"/>
      <x:c r="D134" s="138"/>
      <x:c r="E134" s="138"/>
      <x:c r="F134" s="138"/>
      <x:c r="G134" s="138"/>
      <x:c r="H134" s="138"/>
      <x:c r="I134" s="138"/>
      <x:c r="J134" s="138"/>
      <x:c r="K134" s="138"/>
      <x:c r="L134" s="138"/>
      <x:c r="M134" s="138"/>
      <x:c r="N134" s="138"/>
      <x:c r="O134" s="138"/>
      <x:c r="P134" s="138"/>
      <x:c r="Q134" s="138"/>
      <x:c r="R134" s="138"/>
      <x:c r="S134" s="138"/>
      <x:c r="T134" s="138"/>
      <x:c r="U134" s="138"/>
      <x:c r="V134" s="138"/>
      <x:c r="W134" s="138"/>
      <x:c r="X134" s="138"/>
      <x:c r="Y134" s="138"/>
      <x:c r="Z134" s="138"/>
    </x:row>
    <x:row r="135">
      <x:c r="A135" s="138"/>
      <x:c r="B135" s="138"/>
      <x:c r="C135" s="138"/>
      <x:c r="D135" s="138"/>
      <x:c r="E135" s="138"/>
      <x:c r="F135" s="138"/>
      <x:c r="G135" s="138"/>
      <x:c r="H135" s="138"/>
      <x:c r="I135" s="138"/>
      <x:c r="J135" s="138"/>
      <x:c r="K135" s="138"/>
      <x:c r="L135" s="138"/>
      <x:c r="M135" s="138"/>
      <x:c r="N135" s="138"/>
      <x:c r="O135" s="138"/>
      <x:c r="P135" s="138"/>
      <x:c r="Q135" s="138"/>
      <x:c r="R135" s="138"/>
      <x:c r="S135" s="138"/>
      <x:c r="T135" s="138"/>
      <x:c r="U135" s="138"/>
      <x:c r="V135" s="138"/>
      <x:c r="W135" s="138"/>
      <x:c r="X135" s="138"/>
      <x:c r="Y135" s="138"/>
      <x:c r="Z135" s="138"/>
    </x:row>
    <x:row r="136">
      <x:c r="A136" s="138"/>
      <x:c r="B136" s="138"/>
      <x:c r="C136" s="138"/>
      <x:c r="D136" s="138"/>
      <x:c r="E136" s="138"/>
      <x:c r="F136" s="138"/>
      <x:c r="G136" s="138"/>
      <x:c r="H136" s="138"/>
      <x:c r="I136" s="138"/>
      <x:c r="J136" s="138"/>
      <x:c r="K136" s="138"/>
      <x:c r="L136" s="138"/>
      <x:c r="M136" s="138"/>
      <x:c r="N136" s="138"/>
      <x:c r="O136" s="138"/>
      <x:c r="P136" s="138"/>
      <x:c r="Q136" s="138"/>
      <x:c r="R136" s="138"/>
      <x:c r="S136" s="138"/>
      <x:c r="T136" s="138"/>
      <x:c r="U136" s="138"/>
      <x:c r="V136" s="138"/>
      <x:c r="W136" s="138"/>
      <x:c r="X136" s="138"/>
      <x:c r="Y136" s="138"/>
      <x:c r="Z136" s="138"/>
    </x:row>
    <x:row r="137">
      <x:c r="A137" s="138"/>
      <x:c r="B137" s="138"/>
      <x:c r="C137" s="138"/>
      <x:c r="D137" s="138"/>
      <x:c r="E137" s="138"/>
      <x:c r="F137" s="138"/>
      <x:c r="G137" s="138"/>
      <x:c r="H137" s="138"/>
      <x:c r="I137" s="138"/>
      <x:c r="J137" s="138"/>
      <x:c r="K137" s="138"/>
      <x:c r="L137" s="138"/>
      <x:c r="M137" s="138"/>
      <x:c r="N137" s="138"/>
      <x:c r="O137" s="138"/>
      <x:c r="P137" s="138"/>
      <x:c r="Q137" s="138"/>
      <x:c r="R137" s="138"/>
      <x:c r="S137" s="138"/>
      <x:c r="T137" s="138"/>
      <x:c r="U137" s="138"/>
      <x:c r="V137" s="138"/>
      <x:c r="W137" s="138"/>
      <x:c r="X137" s="138"/>
      <x:c r="Y137" s="138"/>
      <x:c r="Z137" s="138"/>
    </x:row>
    <x:row r="138">
      <x:c r="A138" s="138"/>
      <x:c r="B138" s="138"/>
      <x:c r="C138" s="138"/>
      <x:c r="D138" s="138"/>
      <x:c r="E138" s="138"/>
      <x:c r="F138" s="138"/>
      <x:c r="G138" s="138"/>
      <x:c r="H138" s="138"/>
      <x:c r="I138" s="138"/>
      <x:c r="J138" s="138"/>
      <x:c r="K138" s="138"/>
      <x:c r="L138" s="138"/>
      <x:c r="M138" s="138"/>
      <x:c r="N138" s="138"/>
      <x:c r="O138" s="138"/>
      <x:c r="P138" s="138"/>
      <x:c r="Q138" s="138"/>
      <x:c r="R138" s="138"/>
      <x:c r="S138" s="138"/>
      <x:c r="T138" s="138"/>
      <x:c r="U138" s="138"/>
      <x:c r="V138" s="138"/>
      <x:c r="W138" s="138"/>
      <x:c r="X138" s="138"/>
      <x:c r="Y138" s="138"/>
      <x:c r="Z138" s="138"/>
    </x:row>
    <x:row r="139">
      <x:c r="A139" s="138"/>
      <x:c r="B139" s="138"/>
      <x:c r="C139" s="138"/>
      <x:c r="D139" s="138"/>
      <x:c r="E139" s="138"/>
      <x:c r="F139" s="138"/>
      <x:c r="G139" s="138"/>
      <x:c r="H139" s="138"/>
      <x:c r="I139" s="138"/>
      <x:c r="J139" s="138"/>
      <x:c r="K139" s="138"/>
      <x:c r="L139" s="138"/>
      <x:c r="M139" s="138"/>
      <x:c r="N139" s="138"/>
      <x:c r="O139" s="138"/>
      <x:c r="P139" s="138"/>
      <x:c r="Q139" s="138"/>
      <x:c r="R139" s="138"/>
      <x:c r="S139" s="138"/>
      <x:c r="T139" s="138"/>
      <x:c r="U139" s="138"/>
      <x:c r="V139" s="138"/>
      <x:c r="W139" s="138"/>
      <x:c r="X139" s="138"/>
      <x:c r="Y139" s="138"/>
      <x:c r="Z139" s="138"/>
    </x:row>
    <x:row r="140">
      <x:c r="A140" s="138"/>
      <x:c r="B140" s="138"/>
      <x:c r="C140" s="138"/>
      <x:c r="D140" s="138"/>
      <x:c r="E140" s="138"/>
      <x:c r="F140" s="138"/>
      <x:c r="G140" s="138"/>
      <x:c r="H140" s="138"/>
      <x:c r="I140" s="138"/>
      <x:c r="J140" s="138"/>
      <x:c r="K140" s="138"/>
      <x:c r="L140" s="138"/>
      <x:c r="M140" s="138"/>
      <x:c r="N140" s="138"/>
      <x:c r="O140" s="138"/>
      <x:c r="P140" s="138"/>
      <x:c r="Q140" s="138"/>
      <x:c r="R140" s="138"/>
      <x:c r="S140" s="138"/>
      <x:c r="T140" s="138"/>
      <x:c r="U140" s="138"/>
      <x:c r="V140" s="138"/>
      <x:c r="W140" s="138"/>
      <x:c r="X140" s="138"/>
      <x:c r="Y140" s="138"/>
      <x:c r="Z140" s="138"/>
    </x:row>
    <x:row r="141">
      <x:c r="A141" s="138"/>
      <x:c r="B141" s="138"/>
      <x:c r="C141" s="138"/>
      <x:c r="D141" s="138"/>
      <x:c r="E141" s="138"/>
      <x:c r="F141" s="138"/>
      <x:c r="G141" s="138"/>
      <x:c r="H141" s="138"/>
      <x:c r="I141" s="138"/>
      <x:c r="J141" s="138"/>
      <x:c r="K141" s="138"/>
      <x:c r="L141" s="138"/>
      <x:c r="M141" s="138"/>
      <x:c r="N141" s="138"/>
      <x:c r="O141" s="138"/>
      <x:c r="P141" s="138"/>
      <x:c r="Q141" s="138"/>
      <x:c r="R141" s="138"/>
      <x:c r="S141" s="138"/>
      <x:c r="T141" s="138"/>
      <x:c r="U141" s="138"/>
      <x:c r="V141" s="138"/>
      <x:c r="W141" s="138"/>
      <x:c r="X141" s="138"/>
      <x:c r="Y141" s="138"/>
      <x:c r="Z141" s="138"/>
    </x:row>
    <x:row r="142">
      <x:c r="A142" s="138"/>
      <x:c r="B142" s="138"/>
      <x:c r="C142" s="138"/>
      <x:c r="D142" s="138"/>
      <x:c r="E142" s="138"/>
      <x:c r="F142" s="138"/>
      <x:c r="G142" s="138"/>
      <x:c r="H142" s="138"/>
      <x:c r="I142" s="138"/>
      <x:c r="J142" s="138"/>
      <x:c r="K142" s="138"/>
      <x:c r="L142" s="138"/>
      <x:c r="M142" s="138"/>
      <x:c r="N142" s="138"/>
      <x:c r="O142" s="138"/>
      <x:c r="P142" s="138"/>
      <x:c r="Q142" s="138"/>
      <x:c r="R142" s="138"/>
      <x:c r="S142" s="138"/>
      <x:c r="T142" s="138"/>
      <x:c r="U142" s="138"/>
      <x:c r="V142" s="138"/>
      <x:c r="W142" s="138"/>
      <x:c r="X142" s="138"/>
      <x:c r="Y142" s="138"/>
      <x:c r="Z142" s="138"/>
    </x:row>
    <x:row r="143">
      <x:c r="A143" s="138"/>
      <x:c r="B143" s="138"/>
      <x:c r="C143" s="138"/>
      <x:c r="D143" s="138"/>
      <x:c r="E143" s="138"/>
      <x:c r="F143" s="138"/>
      <x:c r="G143" s="138"/>
      <x:c r="H143" s="138"/>
      <x:c r="I143" s="138"/>
      <x:c r="J143" s="138"/>
      <x:c r="K143" s="138"/>
      <x:c r="L143" s="138"/>
      <x:c r="M143" s="138"/>
      <x:c r="N143" s="138"/>
      <x:c r="O143" s="138"/>
      <x:c r="P143" s="138"/>
      <x:c r="Q143" s="138"/>
      <x:c r="R143" s="138"/>
      <x:c r="S143" s="138"/>
      <x:c r="T143" s="138"/>
      <x:c r="U143" s="138"/>
      <x:c r="V143" s="138"/>
      <x:c r="W143" s="138"/>
      <x:c r="X143" s="138"/>
      <x:c r="Y143" s="138"/>
      <x:c r="Z143" s="138"/>
    </x:row>
    <x:row r="144">
      <x:c r="A144" s="138"/>
      <x:c r="B144" s="138"/>
      <x:c r="C144" s="138"/>
      <x:c r="D144" s="138"/>
      <x:c r="E144" s="138"/>
      <x:c r="F144" s="138"/>
      <x:c r="G144" s="138"/>
      <x:c r="H144" s="138"/>
      <x:c r="I144" s="138"/>
      <x:c r="J144" s="138"/>
      <x:c r="K144" s="138"/>
      <x:c r="L144" s="138"/>
      <x:c r="M144" s="138"/>
      <x:c r="N144" s="138"/>
      <x:c r="O144" s="138"/>
      <x:c r="P144" s="138"/>
      <x:c r="Q144" s="138"/>
      <x:c r="R144" s="138"/>
      <x:c r="S144" s="138"/>
      <x:c r="T144" s="138"/>
      <x:c r="U144" s="138"/>
      <x:c r="V144" s="138"/>
      <x:c r="W144" s="138"/>
      <x:c r="X144" s="138"/>
      <x:c r="Y144" s="138"/>
      <x:c r="Z144" s="138"/>
    </x:row>
    <x:row r="145">
      <x:c r="A145" s="138"/>
      <x:c r="B145" s="138"/>
      <x:c r="C145" s="138"/>
      <x:c r="D145" s="138"/>
      <x:c r="E145" s="138"/>
      <x:c r="F145" s="138"/>
      <x:c r="G145" s="138"/>
      <x:c r="H145" s="138"/>
      <x:c r="I145" s="138"/>
      <x:c r="J145" s="138"/>
      <x:c r="K145" s="138"/>
      <x:c r="L145" s="138"/>
      <x:c r="M145" s="138"/>
      <x:c r="N145" s="138"/>
      <x:c r="O145" s="138"/>
      <x:c r="P145" s="138"/>
      <x:c r="Q145" s="138"/>
      <x:c r="R145" s="138"/>
      <x:c r="S145" s="138"/>
      <x:c r="T145" s="138"/>
      <x:c r="U145" s="138"/>
      <x:c r="V145" s="138"/>
      <x:c r="W145" s="138"/>
      <x:c r="X145" s="138"/>
      <x:c r="Y145" s="138"/>
      <x:c r="Z145" s="138"/>
    </x:row>
    <x:row r="146">
      <x:c r="A146" s="138"/>
      <x:c r="B146" s="138"/>
      <x:c r="C146" s="138"/>
      <x:c r="D146" s="138"/>
      <x:c r="E146" s="138"/>
      <x:c r="F146" s="138"/>
      <x:c r="G146" s="138"/>
      <x:c r="H146" s="138"/>
      <x:c r="I146" s="138"/>
      <x:c r="J146" s="138"/>
      <x:c r="K146" s="138"/>
      <x:c r="L146" s="138"/>
      <x:c r="M146" s="138"/>
      <x:c r="N146" s="138"/>
      <x:c r="O146" s="138"/>
      <x:c r="P146" s="138"/>
      <x:c r="Q146" s="138"/>
      <x:c r="R146" s="138"/>
      <x:c r="S146" s="138"/>
      <x:c r="T146" s="138"/>
      <x:c r="U146" s="138"/>
      <x:c r="V146" s="138"/>
      <x:c r="W146" s="138"/>
      <x:c r="X146" s="138"/>
      <x:c r="Y146" s="138"/>
      <x:c r="Z146" s="138"/>
    </x:row>
    <x:row r="147">
      <x:c r="A147" s="138"/>
      <x:c r="B147" s="138"/>
      <x:c r="C147" s="138"/>
      <x:c r="D147" s="138"/>
      <x:c r="E147" s="138"/>
      <x:c r="F147" s="138"/>
      <x:c r="G147" s="138"/>
      <x:c r="H147" s="138"/>
      <x:c r="I147" s="138"/>
      <x:c r="J147" s="138"/>
      <x:c r="K147" s="138"/>
      <x:c r="L147" s="138"/>
      <x:c r="M147" s="138"/>
      <x:c r="N147" s="138"/>
      <x:c r="O147" s="138"/>
      <x:c r="P147" s="138"/>
      <x:c r="Q147" s="138"/>
      <x:c r="R147" s="138"/>
      <x:c r="S147" s="138"/>
      <x:c r="T147" s="138"/>
      <x:c r="U147" s="138"/>
      <x:c r="V147" s="138"/>
      <x:c r="W147" s="138"/>
      <x:c r="X147" s="138"/>
      <x:c r="Y147" s="138"/>
      <x:c r="Z147" s="138"/>
    </x:row>
    <x:row r="148">
      <x:c r="A148" s="138"/>
      <x:c r="B148" s="138"/>
      <x:c r="C148" s="138"/>
      <x:c r="D148" s="138"/>
      <x:c r="E148" s="138"/>
      <x:c r="F148" s="138"/>
      <x:c r="G148" s="138"/>
      <x:c r="H148" s="138"/>
      <x:c r="I148" s="138"/>
      <x:c r="J148" s="138"/>
      <x:c r="K148" s="138"/>
      <x:c r="L148" s="138"/>
      <x:c r="M148" s="138"/>
      <x:c r="N148" s="138"/>
      <x:c r="O148" s="138"/>
      <x:c r="P148" s="138"/>
      <x:c r="Q148" s="138"/>
      <x:c r="R148" s="138"/>
      <x:c r="S148" s="138"/>
      <x:c r="T148" s="138"/>
      <x:c r="U148" s="138"/>
      <x:c r="V148" s="138"/>
      <x:c r="W148" s="138"/>
      <x:c r="X148" s="138"/>
      <x:c r="Y148" s="138"/>
      <x:c r="Z148" s="138"/>
    </x:row>
    <x:row r="149">
      <x:c r="A149" s="138"/>
      <x:c r="B149" s="138"/>
      <x:c r="C149" s="138"/>
      <x:c r="D149" s="138"/>
      <x:c r="E149" s="138"/>
      <x:c r="F149" s="138"/>
      <x:c r="G149" s="138"/>
      <x:c r="H149" s="138"/>
      <x:c r="I149" s="138"/>
      <x:c r="J149" s="138"/>
      <x:c r="K149" s="138"/>
      <x:c r="L149" s="138"/>
      <x:c r="M149" s="138"/>
      <x:c r="N149" s="138"/>
      <x:c r="O149" s="138"/>
      <x:c r="P149" s="138"/>
      <x:c r="Q149" s="138"/>
      <x:c r="R149" s="138"/>
      <x:c r="S149" s="138"/>
      <x:c r="T149" s="138"/>
      <x:c r="U149" s="138"/>
      <x:c r="V149" s="138"/>
      <x:c r="W149" s="138"/>
      <x:c r="X149" s="138"/>
      <x:c r="Y149" s="138"/>
      <x:c r="Z149" s="138"/>
    </x:row>
    <x:row r="150">
      <x:c r="A150" s="138"/>
      <x:c r="B150" s="138"/>
      <x:c r="C150" s="138"/>
      <x:c r="D150" s="138"/>
      <x:c r="E150" s="138"/>
      <x:c r="F150" s="138"/>
      <x:c r="G150" s="138"/>
      <x:c r="H150" s="138"/>
      <x:c r="I150" s="138"/>
      <x:c r="J150" s="138"/>
      <x:c r="K150" s="138"/>
      <x:c r="L150" s="138"/>
      <x:c r="M150" s="138"/>
      <x:c r="N150" s="138"/>
      <x:c r="O150" s="138"/>
      <x:c r="P150" s="138"/>
      <x:c r="Q150" s="138"/>
      <x:c r="R150" s="138"/>
      <x:c r="S150" s="138"/>
      <x:c r="T150" s="138"/>
      <x:c r="U150" s="138"/>
      <x:c r="V150" s="138"/>
      <x:c r="W150" s="138"/>
      <x:c r="X150" s="138"/>
      <x:c r="Y150" s="138"/>
      <x:c r="Z150" s="138"/>
    </x:row>
    <x:row r="151">
      <x:c r="A151" s="138"/>
      <x:c r="B151" s="138"/>
      <x:c r="C151" s="138"/>
      <x:c r="D151" s="138"/>
      <x:c r="E151" s="138"/>
      <x:c r="F151" s="138"/>
      <x:c r="G151" s="138"/>
      <x:c r="H151" s="138"/>
      <x:c r="I151" s="138"/>
      <x:c r="J151" s="138"/>
      <x:c r="K151" s="138"/>
      <x:c r="L151" s="138"/>
      <x:c r="M151" s="138"/>
      <x:c r="N151" s="138"/>
      <x:c r="O151" s="138"/>
      <x:c r="P151" s="138"/>
      <x:c r="Q151" s="138"/>
      <x:c r="R151" s="138"/>
      <x:c r="S151" s="138"/>
      <x:c r="T151" s="138"/>
      <x:c r="U151" s="138"/>
      <x:c r="V151" s="138"/>
      <x:c r="W151" s="138"/>
      <x:c r="X151" s="138"/>
      <x:c r="Y151" s="138"/>
      <x:c r="Z151" s="138"/>
    </x:row>
    <x:row r="152">
      <x:c r="A152" s="138"/>
      <x:c r="B152" s="138"/>
      <x:c r="C152" s="138"/>
      <x:c r="D152" s="138"/>
      <x:c r="E152" s="138"/>
      <x:c r="F152" s="138"/>
      <x:c r="G152" s="138"/>
      <x:c r="H152" s="138"/>
      <x:c r="I152" s="138"/>
      <x:c r="J152" s="138"/>
      <x:c r="K152" s="138"/>
      <x:c r="L152" s="138"/>
      <x:c r="M152" s="138"/>
      <x:c r="N152" s="138"/>
      <x:c r="O152" s="138"/>
      <x:c r="P152" s="138"/>
      <x:c r="Q152" s="138"/>
      <x:c r="R152" s="138"/>
      <x:c r="S152" s="138"/>
      <x:c r="T152" s="138"/>
      <x:c r="U152" s="138"/>
      <x:c r="V152" s="138"/>
      <x:c r="W152" s="138"/>
      <x:c r="X152" s="138"/>
      <x:c r="Y152" s="138"/>
      <x:c r="Z152" s="138"/>
    </x:row>
    <x:row r="153">
      <x:c r="A153" s="138"/>
      <x:c r="B153" s="138"/>
      <x:c r="C153" s="138"/>
      <x:c r="D153" s="138"/>
      <x:c r="E153" s="138"/>
      <x:c r="F153" s="138"/>
      <x:c r="G153" s="138"/>
      <x:c r="H153" s="138"/>
      <x:c r="I153" s="138"/>
      <x:c r="J153" s="138"/>
      <x:c r="K153" s="138"/>
      <x:c r="L153" s="138"/>
      <x:c r="M153" s="138"/>
      <x:c r="N153" s="138"/>
      <x:c r="O153" s="138"/>
      <x:c r="P153" s="138"/>
      <x:c r="Q153" s="138"/>
      <x:c r="R153" s="138"/>
      <x:c r="S153" s="138"/>
      <x:c r="T153" s="138"/>
      <x:c r="U153" s="138"/>
      <x:c r="V153" s="138"/>
      <x:c r="W153" s="138"/>
      <x:c r="X153" s="138"/>
      <x:c r="Y153" s="138"/>
      <x:c r="Z153" s="138"/>
    </x:row>
    <x:row r="154">
      <x:c r="A154" s="138"/>
      <x:c r="B154" s="138"/>
      <x:c r="C154" s="138"/>
      <x:c r="D154" s="138"/>
      <x:c r="E154" s="138"/>
      <x:c r="F154" s="138"/>
      <x:c r="G154" s="138"/>
      <x:c r="H154" s="138"/>
      <x:c r="I154" s="138"/>
      <x:c r="J154" s="138"/>
      <x:c r="K154" s="138"/>
      <x:c r="L154" s="138"/>
      <x:c r="M154" s="138"/>
      <x:c r="N154" s="138"/>
      <x:c r="O154" s="138"/>
      <x:c r="P154" s="138"/>
      <x:c r="Q154" s="138"/>
      <x:c r="R154" s="138"/>
      <x:c r="S154" s="138"/>
      <x:c r="T154" s="138"/>
      <x:c r="U154" s="138"/>
      <x:c r="V154" s="138"/>
      <x:c r="W154" s="138"/>
      <x:c r="X154" s="138"/>
      <x:c r="Y154" s="138"/>
      <x:c r="Z154" s="138"/>
    </x:row>
    <x:row r="155">
      <x:c r="A155" s="138"/>
      <x:c r="B155" s="138"/>
      <x:c r="C155" s="138"/>
      <x:c r="D155" s="138"/>
      <x:c r="E155" s="138"/>
      <x:c r="F155" s="138"/>
      <x:c r="G155" s="138"/>
      <x:c r="H155" s="138"/>
      <x:c r="I155" s="138"/>
      <x:c r="J155" s="138"/>
      <x:c r="K155" s="138"/>
      <x:c r="L155" s="138"/>
      <x:c r="M155" s="138"/>
      <x:c r="N155" s="138"/>
      <x:c r="O155" s="138"/>
      <x:c r="P155" s="138"/>
      <x:c r="Q155" s="138"/>
      <x:c r="R155" s="138"/>
      <x:c r="S155" s="138"/>
      <x:c r="T155" s="138"/>
      <x:c r="U155" s="138"/>
      <x:c r="V155" s="138"/>
      <x:c r="W155" s="138"/>
      <x:c r="X155" s="138"/>
      <x:c r="Y155" s="138"/>
      <x:c r="Z155" s="138"/>
    </x:row>
    <x:row r="156">
      <x:c r="A156" s="138"/>
      <x:c r="B156" s="138"/>
      <x:c r="C156" s="138"/>
      <x:c r="D156" s="138"/>
      <x:c r="E156" s="138"/>
      <x:c r="F156" s="138"/>
      <x:c r="G156" s="138"/>
      <x:c r="H156" s="138"/>
      <x:c r="I156" s="138"/>
      <x:c r="J156" s="138"/>
      <x:c r="K156" s="138"/>
      <x:c r="L156" s="138"/>
      <x:c r="M156" s="138"/>
      <x:c r="N156" s="138"/>
      <x:c r="O156" s="138"/>
      <x:c r="P156" s="138"/>
      <x:c r="Q156" s="138"/>
      <x:c r="R156" s="138"/>
      <x:c r="S156" s="138"/>
      <x:c r="T156" s="138"/>
      <x:c r="U156" s="138"/>
      <x:c r="V156" s="138"/>
      <x:c r="W156" s="138"/>
      <x:c r="X156" s="138"/>
      <x:c r="Y156" s="138"/>
      <x:c r="Z156" s="138"/>
    </x:row>
    <x:row r="157">
      <x:c r="A157" s="138"/>
      <x:c r="B157" s="138"/>
      <x:c r="C157" s="138"/>
      <x:c r="D157" s="138"/>
      <x:c r="E157" s="138"/>
      <x:c r="F157" s="138"/>
      <x:c r="G157" s="138"/>
      <x:c r="H157" s="138"/>
      <x:c r="I157" s="138"/>
      <x:c r="J157" s="138"/>
      <x:c r="K157" s="138"/>
      <x:c r="L157" s="138"/>
      <x:c r="M157" s="138"/>
      <x:c r="N157" s="138"/>
      <x:c r="O157" s="138"/>
      <x:c r="P157" s="138"/>
      <x:c r="Q157" s="138"/>
      <x:c r="R157" s="138"/>
      <x:c r="S157" s="138"/>
      <x:c r="T157" s="138"/>
      <x:c r="U157" s="138"/>
      <x:c r="V157" s="138"/>
      <x:c r="W157" s="138"/>
      <x:c r="X157" s="138"/>
      <x:c r="Y157" s="138"/>
      <x:c r="Z157" s="138"/>
    </x:row>
    <x:row r="158">
      <x:c r="A158" s="138"/>
      <x:c r="B158" s="138"/>
      <x:c r="C158" s="138"/>
      <x:c r="D158" s="138"/>
      <x:c r="E158" s="138"/>
      <x:c r="F158" s="138"/>
      <x:c r="G158" s="138"/>
      <x:c r="H158" s="138"/>
      <x:c r="I158" s="138"/>
      <x:c r="J158" s="138"/>
      <x:c r="K158" s="138"/>
      <x:c r="L158" s="138"/>
      <x:c r="M158" s="138"/>
      <x:c r="N158" s="138"/>
      <x:c r="O158" s="138"/>
      <x:c r="P158" s="138"/>
      <x:c r="Q158" s="138"/>
      <x:c r="R158" s="138"/>
      <x:c r="S158" s="138"/>
      <x:c r="T158" s="138"/>
      <x:c r="U158" s="138"/>
      <x:c r="V158" s="138"/>
      <x:c r="W158" s="138"/>
      <x:c r="X158" s="138"/>
      <x:c r="Y158" s="138"/>
      <x:c r="Z158" s="138"/>
    </x:row>
    <x:row r="159">
      <x:c r="A159" s="138"/>
      <x:c r="B159" s="138"/>
      <x:c r="C159" s="138"/>
      <x:c r="D159" s="138"/>
      <x:c r="E159" s="138"/>
      <x:c r="F159" s="138"/>
      <x:c r="G159" s="138"/>
      <x:c r="H159" s="138"/>
      <x:c r="I159" s="138"/>
      <x:c r="J159" s="138"/>
      <x:c r="K159" s="138"/>
      <x:c r="L159" s="138"/>
      <x:c r="M159" s="138"/>
      <x:c r="N159" s="138"/>
      <x:c r="O159" s="138"/>
      <x:c r="P159" s="138"/>
      <x:c r="Q159" s="138"/>
      <x:c r="R159" s="138"/>
      <x:c r="S159" s="138"/>
      <x:c r="T159" s="138"/>
      <x:c r="U159" s="138"/>
      <x:c r="V159" s="138"/>
      <x:c r="W159" s="138"/>
      <x:c r="X159" s="138"/>
      <x:c r="Y159" s="138"/>
      <x:c r="Z159" s="138"/>
    </x:row>
    <x:row r="160">
      <x:c r="A160" s="138"/>
      <x:c r="B160" s="138"/>
      <x:c r="C160" s="138"/>
      <x:c r="D160" s="138"/>
      <x:c r="E160" s="138"/>
      <x:c r="F160" s="138"/>
      <x:c r="G160" s="138"/>
      <x:c r="H160" s="138"/>
      <x:c r="I160" s="138"/>
      <x:c r="J160" s="138"/>
      <x:c r="K160" s="138"/>
      <x:c r="L160" s="138"/>
      <x:c r="M160" s="138"/>
      <x:c r="N160" s="138"/>
      <x:c r="O160" s="138"/>
      <x:c r="P160" s="138"/>
      <x:c r="Q160" s="138"/>
      <x:c r="R160" s="138"/>
      <x:c r="S160" s="138"/>
      <x:c r="T160" s="138"/>
      <x:c r="U160" s="138"/>
      <x:c r="V160" s="138"/>
      <x:c r="W160" s="138"/>
      <x:c r="X160" s="138"/>
      <x:c r="Y160" s="138"/>
      <x:c r="Z160" s="138"/>
    </x:row>
    <x:row r="161">
      <x:c r="A161" s="138"/>
      <x:c r="B161" s="138"/>
      <x:c r="C161" s="138"/>
      <x:c r="D161" s="138"/>
      <x:c r="E161" s="138"/>
      <x:c r="F161" s="138"/>
      <x:c r="G161" s="138"/>
      <x:c r="H161" s="138"/>
      <x:c r="I161" s="138"/>
      <x:c r="J161" s="138"/>
      <x:c r="K161" s="138"/>
      <x:c r="L161" s="138"/>
      <x:c r="M161" s="138"/>
      <x:c r="N161" s="138"/>
      <x:c r="O161" s="138"/>
      <x:c r="P161" s="138"/>
      <x:c r="Q161" s="138"/>
      <x:c r="R161" s="138"/>
      <x:c r="S161" s="138"/>
      <x:c r="T161" s="138"/>
      <x:c r="U161" s="138"/>
      <x:c r="V161" s="138"/>
      <x:c r="W161" s="138"/>
      <x:c r="X161" s="138"/>
      <x:c r="Y161" s="138"/>
      <x:c r="Z161" s="138"/>
    </x:row>
    <x:row r="162">
      <x:c r="A162" s="138"/>
      <x:c r="B162" s="138"/>
      <x:c r="C162" s="138"/>
      <x:c r="D162" s="138"/>
      <x:c r="E162" s="138"/>
      <x:c r="F162" s="138"/>
      <x:c r="G162" s="138"/>
      <x:c r="H162" s="138"/>
      <x:c r="I162" s="138"/>
      <x:c r="J162" s="138"/>
      <x:c r="K162" s="138"/>
      <x:c r="L162" s="138"/>
      <x:c r="M162" s="138"/>
      <x:c r="N162" s="138"/>
      <x:c r="O162" s="138"/>
      <x:c r="P162" s="138"/>
      <x:c r="Q162" s="138"/>
      <x:c r="R162" s="138"/>
      <x:c r="S162" s="138"/>
      <x:c r="T162" s="138"/>
      <x:c r="U162" s="138"/>
      <x:c r="V162" s="138"/>
      <x:c r="W162" s="138"/>
      <x:c r="X162" s="138"/>
      <x:c r="Y162" s="138"/>
      <x:c r="Z162" s="138"/>
    </x:row>
    <x:row r="163">
      <x:c r="A163" s="138"/>
      <x:c r="B163" s="138"/>
      <x:c r="C163" s="138"/>
      <x:c r="D163" s="138"/>
      <x:c r="E163" s="138"/>
      <x:c r="F163" s="138"/>
      <x:c r="G163" s="138"/>
      <x:c r="H163" s="138"/>
      <x:c r="I163" s="138"/>
      <x:c r="J163" s="138"/>
      <x:c r="K163" s="138"/>
      <x:c r="L163" s="138"/>
      <x:c r="M163" s="138"/>
      <x:c r="N163" s="138"/>
      <x:c r="O163" s="138"/>
      <x:c r="P163" s="138"/>
      <x:c r="Q163" s="138"/>
      <x:c r="R163" s="138"/>
      <x:c r="S163" s="138"/>
      <x:c r="T163" s="138"/>
      <x:c r="U163" s="138"/>
      <x:c r="V163" s="138"/>
      <x:c r="W163" s="138"/>
      <x:c r="X163" s="138"/>
      <x:c r="Y163" s="138"/>
      <x:c r="Z163" s="138"/>
    </x:row>
    <x:row r="164">
      <x:c r="A164" s="138"/>
      <x:c r="B164" s="138"/>
      <x:c r="C164" s="138"/>
      <x:c r="D164" s="138"/>
      <x:c r="E164" s="138"/>
      <x:c r="F164" s="138"/>
      <x:c r="G164" s="138"/>
      <x:c r="H164" s="138"/>
      <x:c r="I164" s="138"/>
      <x:c r="J164" s="138"/>
      <x:c r="K164" s="138"/>
      <x:c r="L164" s="138"/>
      <x:c r="M164" s="138"/>
      <x:c r="N164" s="138"/>
      <x:c r="O164" s="138"/>
      <x:c r="P164" s="138"/>
      <x:c r="Q164" s="138"/>
      <x:c r="R164" s="138"/>
      <x:c r="S164" s="138"/>
      <x:c r="T164" s="138"/>
      <x:c r="U164" s="138"/>
      <x:c r="V164" s="138"/>
      <x:c r="W164" s="138"/>
      <x:c r="X164" s="138"/>
      <x:c r="Y164" s="138"/>
      <x:c r="Z164" s="138"/>
    </x:row>
    <x:row r="165">
      <x:c r="A165" s="138"/>
      <x:c r="B165" s="138"/>
      <x:c r="C165" s="138"/>
      <x:c r="D165" s="138"/>
      <x:c r="E165" s="138"/>
      <x:c r="F165" s="138"/>
      <x:c r="G165" s="138"/>
      <x:c r="H165" s="138"/>
      <x:c r="I165" s="138"/>
      <x:c r="J165" s="138"/>
      <x:c r="K165" s="138"/>
      <x:c r="L165" s="138"/>
      <x:c r="M165" s="138"/>
      <x:c r="N165" s="138"/>
      <x:c r="O165" s="138"/>
      <x:c r="P165" s="138"/>
      <x:c r="Q165" s="138"/>
      <x:c r="R165" s="138"/>
      <x:c r="S165" s="138"/>
      <x:c r="T165" s="138"/>
      <x:c r="U165" s="138"/>
      <x:c r="V165" s="138"/>
      <x:c r="W165" s="138"/>
      <x:c r="X165" s="138"/>
      <x:c r="Y165" s="138"/>
      <x:c r="Z165" s="138"/>
    </x:row>
    <x:row r="166">
      <x:c r="A166" s="138"/>
      <x:c r="B166" s="138"/>
      <x:c r="C166" s="138"/>
      <x:c r="D166" s="138"/>
      <x:c r="E166" s="138"/>
      <x:c r="F166" s="138"/>
      <x:c r="G166" s="138"/>
      <x:c r="H166" s="138"/>
      <x:c r="I166" s="138"/>
      <x:c r="J166" s="138"/>
      <x:c r="K166" s="138"/>
      <x:c r="L166" s="138"/>
      <x:c r="M166" s="138"/>
      <x:c r="N166" s="138"/>
      <x:c r="O166" s="138"/>
      <x:c r="P166" s="138"/>
      <x:c r="Q166" s="138"/>
      <x:c r="R166" s="138"/>
      <x:c r="S166" s="138"/>
      <x:c r="T166" s="138"/>
      <x:c r="U166" s="138"/>
      <x:c r="V166" s="138"/>
      <x:c r="W166" s="138"/>
      <x:c r="X166" s="138"/>
      <x:c r="Y166" s="138"/>
      <x:c r="Z166" s="138"/>
    </x:row>
    <x:row r="167">
      <x:c r="A167" s="138"/>
      <x:c r="B167" s="138"/>
      <x:c r="C167" s="138"/>
      <x:c r="D167" s="138"/>
      <x:c r="E167" s="138"/>
      <x:c r="F167" s="138"/>
      <x:c r="G167" s="138"/>
      <x:c r="H167" s="138"/>
      <x:c r="I167" s="138"/>
      <x:c r="J167" s="138"/>
      <x:c r="K167" s="138"/>
      <x:c r="L167" s="138"/>
      <x:c r="M167" s="138"/>
      <x:c r="N167" s="138"/>
      <x:c r="O167" s="138"/>
      <x:c r="P167" s="138"/>
      <x:c r="Q167" s="138"/>
      <x:c r="R167" s="138"/>
      <x:c r="S167" s="138"/>
      <x:c r="T167" s="138"/>
      <x:c r="U167" s="138"/>
      <x:c r="V167" s="138"/>
      <x:c r="W167" s="138"/>
      <x:c r="X167" s="138"/>
      <x:c r="Y167" s="138"/>
      <x:c r="Z167" s="138"/>
    </x:row>
    <x:row r="168">
      <x:c r="A168" s="138"/>
      <x:c r="B168" s="138"/>
      <x:c r="C168" s="138"/>
      <x:c r="D168" s="138"/>
      <x:c r="E168" s="138"/>
      <x:c r="F168" s="138"/>
      <x:c r="G168" s="138"/>
      <x:c r="H168" s="138"/>
      <x:c r="I168" s="138"/>
      <x:c r="J168" s="138"/>
      <x:c r="K168" s="138"/>
      <x:c r="L168" s="138"/>
      <x:c r="M168" s="138"/>
      <x:c r="N168" s="138"/>
      <x:c r="O168" s="138"/>
      <x:c r="P168" s="138"/>
      <x:c r="Q168" s="138"/>
      <x:c r="R168" s="138"/>
      <x:c r="S168" s="138"/>
      <x:c r="T168" s="138"/>
      <x:c r="U168" s="138"/>
      <x:c r="V168" s="138"/>
      <x:c r="W168" s="138"/>
      <x:c r="X168" s="138"/>
      <x:c r="Y168" s="138"/>
      <x:c r="Z168" s="138"/>
    </x:row>
    <x:row r="169">
      <x:c r="A169" s="138"/>
      <x:c r="B169" s="138"/>
      <x:c r="C169" s="138"/>
      <x:c r="D169" s="138"/>
      <x:c r="E169" s="138"/>
      <x:c r="F169" s="138"/>
      <x:c r="G169" s="138"/>
      <x:c r="H169" s="138"/>
      <x:c r="I169" s="138"/>
      <x:c r="J169" s="138"/>
      <x:c r="K169" s="138"/>
      <x:c r="L169" s="138"/>
      <x:c r="M169" s="138"/>
      <x:c r="N169" s="138"/>
      <x:c r="O169" s="138"/>
      <x:c r="P169" s="138"/>
      <x:c r="Q169" s="138"/>
      <x:c r="R169" s="138"/>
      <x:c r="S169" s="138"/>
      <x:c r="T169" s="138"/>
      <x:c r="U169" s="138"/>
      <x:c r="V169" s="138"/>
      <x:c r="W169" s="138"/>
      <x:c r="X169" s="138"/>
      <x:c r="Y169" s="138"/>
      <x:c r="Z169" s="138"/>
    </x:row>
    <x:row r="170">
      <x:c r="A170" s="138"/>
      <x:c r="B170" s="138"/>
      <x:c r="C170" s="138"/>
      <x:c r="D170" s="138"/>
      <x:c r="E170" s="138"/>
      <x:c r="F170" s="138"/>
      <x:c r="G170" s="138"/>
      <x:c r="H170" s="138"/>
      <x:c r="I170" s="138"/>
      <x:c r="J170" s="138"/>
      <x:c r="K170" s="138"/>
      <x:c r="L170" s="138"/>
      <x:c r="M170" s="138"/>
      <x:c r="N170" s="138"/>
      <x:c r="O170" s="138"/>
      <x:c r="P170" s="138"/>
      <x:c r="Q170" s="138"/>
      <x:c r="R170" s="138"/>
      <x:c r="S170" s="138"/>
      <x:c r="T170" s="138"/>
      <x:c r="U170" s="138"/>
      <x:c r="V170" s="138"/>
      <x:c r="W170" s="138"/>
      <x:c r="X170" s="138"/>
      <x:c r="Y170" s="138"/>
      <x:c r="Z170" s="138"/>
    </x:row>
    <x:row r="171">
      <x:c r="A171" s="138"/>
      <x:c r="B171" s="138"/>
      <x:c r="C171" s="138"/>
      <x:c r="D171" s="138"/>
      <x:c r="E171" s="138"/>
      <x:c r="F171" s="138"/>
      <x:c r="G171" s="138"/>
      <x:c r="H171" s="138"/>
      <x:c r="I171" s="138"/>
      <x:c r="J171" s="138"/>
      <x:c r="K171" s="138"/>
      <x:c r="L171" s="138"/>
      <x:c r="M171" s="138"/>
      <x:c r="N171" s="138"/>
      <x:c r="O171" s="138"/>
      <x:c r="P171" s="138"/>
      <x:c r="Q171" s="138"/>
      <x:c r="R171" s="138"/>
      <x:c r="S171" s="138"/>
      <x:c r="T171" s="138"/>
      <x:c r="U171" s="138"/>
      <x:c r="V171" s="138"/>
      <x:c r="W171" s="138"/>
      <x:c r="X171" s="138"/>
      <x:c r="Y171" s="138"/>
      <x:c r="Z171" s="138"/>
    </x:row>
    <x:row r="172">
      <x:c r="A172" s="138"/>
      <x:c r="B172" s="138"/>
      <x:c r="C172" s="138"/>
      <x:c r="D172" s="138"/>
      <x:c r="E172" s="138"/>
      <x:c r="F172" s="138"/>
      <x:c r="G172" s="138"/>
      <x:c r="H172" s="138"/>
      <x:c r="I172" s="138"/>
      <x:c r="J172" s="138"/>
      <x:c r="K172" s="138"/>
      <x:c r="L172" s="138"/>
      <x:c r="M172" s="138"/>
      <x:c r="N172" s="138"/>
      <x:c r="O172" s="138"/>
      <x:c r="P172" s="138"/>
      <x:c r="Q172" s="138"/>
      <x:c r="R172" s="138"/>
      <x:c r="S172" s="138"/>
      <x:c r="T172" s="138"/>
      <x:c r="U172" s="138"/>
      <x:c r="V172" s="138"/>
      <x:c r="W172" s="138"/>
      <x:c r="X172" s="138"/>
      <x:c r="Y172" s="138"/>
      <x:c r="Z172" s="138"/>
    </x:row>
    <x:row r="173">
      <x:c r="A173" s="138"/>
      <x:c r="B173" s="138"/>
      <x:c r="C173" s="138"/>
      <x:c r="D173" s="138"/>
      <x:c r="E173" s="138"/>
      <x:c r="F173" s="138"/>
      <x:c r="G173" s="138"/>
      <x:c r="H173" s="138"/>
      <x:c r="I173" s="138"/>
      <x:c r="J173" s="138"/>
      <x:c r="K173" s="138"/>
      <x:c r="L173" s="138"/>
      <x:c r="M173" s="138"/>
      <x:c r="N173" s="138"/>
      <x:c r="O173" s="138"/>
      <x:c r="P173" s="138"/>
      <x:c r="Q173" s="138"/>
      <x:c r="R173" s="138"/>
      <x:c r="S173" s="138"/>
      <x:c r="T173" s="138"/>
      <x:c r="U173" s="138"/>
      <x:c r="V173" s="138"/>
      <x:c r="W173" s="138"/>
      <x:c r="X173" s="138"/>
      <x:c r="Y173" s="138"/>
      <x:c r="Z173" s="138"/>
    </x:row>
    <x:row r="174">
      <x:c r="A174" s="138"/>
      <x:c r="B174" s="138"/>
      <x:c r="C174" s="138"/>
      <x:c r="D174" s="138"/>
      <x:c r="E174" s="138"/>
      <x:c r="F174" s="138"/>
      <x:c r="G174" s="138"/>
      <x:c r="H174" s="138"/>
      <x:c r="I174" s="138"/>
      <x:c r="J174" s="138"/>
      <x:c r="K174" s="138"/>
      <x:c r="L174" s="138"/>
      <x:c r="M174" s="138"/>
      <x:c r="N174" s="138"/>
      <x:c r="O174" s="138"/>
      <x:c r="P174" s="138"/>
      <x:c r="Q174" s="138"/>
      <x:c r="R174" s="138"/>
      <x:c r="S174" s="138"/>
      <x:c r="T174" s="138"/>
      <x:c r="U174" s="138"/>
      <x:c r="V174" s="138"/>
      <x:c r="W174" s="138"/>
      <x:c r="X174" s="138"/>
      <x:c r="Y174" s="138"/>
      <x:c r="Z174" s="138"/>
    </x:row>
    <x:row r="175">
      <x:c r="A175" s="138"/>
      <x:c r="B175" s="138"/>
      <x:c r="C175" s="138"/>
      <x:c r="D175" s="138"/>
      <x:c r="E175" s="138"/>
      <x:c r="F175" s="138"/>
      <x:c r="G175" s="138"/>
      <x:c r="H175" s="138"/>
      <x:c r="I175" s="138"/>
      <x:c r="J175" s="138"/>
      <x:c r="K175" s="138"/>
      <x:c r="L175" s="138"/>
      <x:c r="M175" s="138"/>
      <x:c r="N175" s="138"/>
      <x:c r="O175" s="138"/>
      <x:c r="P175" s="138"/>
      <x:c r="Q175" s="138"/>
      <x:c r="R175" s="138"/>
      <x:c r="S175" s="138"/>
      <x:c r="T175" s="138"/>
      <x:c r="U175" s="138"/>
      <x:c r="V175" s="138"/>
      <x:c r="W175" s="138"/>
      <x:c r="X175" s="138"/>
      <x:c r="Y175" s="138"/>
      <x:c r="Z175" s="138"/>
    </x:row>
    <x:row r="176">
      <x:c r="A176" s="138"/>
      <x:c r="B176" s="138"/>
      <x:c r="C176" s="138"/>
      <x:c r="D176" s="138"/>
      <x:c r="E176" s="138"/>
      <x:c r="F176" s="138"/>
      <x:c r="G176" s="138"/>
      <x:c r="H176" s="138"/>
      <x:c r="I176" s="138"/>
      <x:c r="J176" s="138"/>
      <x:c r="K176" s="138"/>
      <x:c r="L176" s="138"/>
      <x:c r="M176" s="138"/>
      <x:c r="N176" s="138"/>
      <x:c r="O176" s="138"/>
      <x:c r="P176" s="138"/>
      <x:c r="Q176" s="138"/>
      <x:c r="R176" s="138"/>
      <x:c r="S176" s="138"/>
      <x:c r="T176" s="138"/>
      <x:c r="U176" s="138"/>
      <x:c r="V176" s="138"/>
      <x:c r="W176" s="138"/>
      <x:c r="X176" s="138"/>
      <x:c r="Y176" s="138"/>
      <x:c r="Z176" s="138"/>
    </x:row>
    <x:row r="177">
      <x:c r="A177" s="138"/>
      <x:c r="B177" s="138"/>
      <x:c r="C177" s="138"/>
      <x:c r="D177" s="138"/>
      <x:c r="E177" s="138"/>
      <x:c r="F177" s="138"/>
      <x:c r="G177" s="138"/>
      <x:c r="H177" s="138"/>
      <x:c r="I177" s="138"/>
      <x:c r="J177" s="138"/>
      <x:c r="K177" s="138"/>
      <x:c r="L177" s="138"/>
      <x:c r="M177" s="138"/>
      <x:c r="N177" s="138"/>
      <x:c r="O177" s="138"/>
      <x:c r="P177" s="138"/>
      <x:c r="Q177" s="138"/>
      <x:c r="R177" s="138"/>
      <x:c r="S177" s="138"/>
      <x:c r="T177" s="138"/>
      <x:c r="U177" s="138"/>
      <x:c r="V177" s="138"/>
      <x:c r="W177" s="138"/>
      <x:c r="X177" s="138"/>
      <x:c r="Y177" s="138"/>
      <x:c r="Z177" s="138"/>
    </x:row>
    <x:row r="178">
      <x:c r="A178" s="138"/>
      <x:c r="B178" s="138"/>
      <x:c r="C178" s="138"/>
      <x:c r="D178" s="138"/>
      <x:c r="E178" s="138"/>
      <x:c r="F178" s="138"/>
      <x:c r="G178" s="138"/>
      <x:c r="H178" s="138"/>
      <x:c r="I178" s="138"/>
      <x:c r="J178" s="138"/>
      <x:c r="K178" s="138"/>
      <x:c r="L178" s="138"/>
      <x:c r="M178" s="138"/>
      <x:c r="N178" s="138"/>
      <x:c r="O178" s="138"/>
      <x:c r="P178" s="138"/>
      <x:c r="Q178" s="138"/>
      <x:c r="R178" s="138"/>
      <x:c r="S178" s="138"/>
      <x:c r="T178" s="138"/>
      <x:c r="U178" s="138"/>
      <x:c r="V178" s="138"/>
      <x:c r="W178" s="138"/>
      <x:c r="X178" s="138"/>
      <x:c r="Y178" s="138"/>
      <x:c r="Z178" s="138"/>
    </x:row>
    <x:row r="179">
      <x:c r="A179" s="138"/>
      <x:c r="B179" s="138"/>
      <x:c r="C179" s="138"/>
      <x:c r="D179" s="138"/>
      <x:c r="E179" s="138"/>
      <x:c r="F179" s="138"/>
      <x:c r="G179" s="138"/>
      <x:c r="H179" s="138"/>
      <x:c r="I179" s="138"/>
      <x:c r="J179" s="138"/>
      <x:c r="K179" s="138"/>
      <x:c r="L179" s="138"/>
      <x:c r="M179" s="138"/>
      <x:c r="N179" s="138"/>
      <x:c r="O179" s="138"/>
      <x:c r="P179" s="138"/>
      <x:c r="Q179" s="138"/>
      <x:c r="R179" s="138"/>
      <x:c r="S179" s="138"/>
      <x:c r="T179" s="138"/>
      <x:c r="U179" s="138"/>
      <x:c r="V179" s="138"/>
      <x:c r="W179" s="138"/>
      <x:c r="X179" s="138"/>
      <x:c r="Y179" s="138"/>
      <x:c r="Z179" s="138"/>
    </x:row>
    <x:row r="180">
      <x:c r="A180" s="138"/>
      <x:c r="B180" s="138"/>
      <x:c r="C180" s="138"/>
      <x:c r="D180" s="138"/>
      <x:c r="E180" s="138"/>
      <x:c r="F180" s="138"/>
      <x:c r="G180" s="138"/>
      <x:c r="H180" s="138"/>
      <x:c r="I180" s="138"/>
      <x:c r="J180" s="138"/>
      <x:c r="K180" s="138"/>
      <x:c r="L180" s="138"/>
      <x:c r="M180" s="138"/>
      <x:c r="N180" s="138"/>
      <x:c r="O180" s="138"/>
      <x:c r="P180" s="138"/>
      <x:c r="Q180" s="138"/>
      <x:c r="R180" s="138"/>
      <x:c r="S180" s="138"/>
      <x:c r="T180" s="138"/>
      <x:c r="U180" s="138"/>
      <x:c r="V180" s="138"/>
      <x:c r="W180" s="138"/>
      <x:c r="X180" s="138"/>
      <x:c r="Y180" s="138"/>
      <x:c r="Z180" s="138"/>
    </x:row>
    <x:row r="181">
      <x:c r="A181" s="138"/>
      <x:c r="B181" s="138"/>
      <x:c r="C181" s="138"/>
      <x:c r="D181" s="138"/>
      <x:c r="E181" s="138"/>
      <x:c r="F181" s="138"/>
      <x:c r="G181" s="138"/>
      <x:c r="H181" s="138"/>
      <x:c r="I181" s="138"/>
      <x:c r="J181" s="138"/>
      <x:c r="K181" s="138"/>
      <x:c r="L181" s="138"/>
      <x:c r="M181" s="138"/>
      <x:c r="N181" s="138"/>
      <x:c r="O181" s="138"/>
      <x:c r="P181" s="138"/>
      <x:c r="Q181" s="138"/>
      <x:c r="R181" s="138"/>
      <x:c r="S181" s="138"/>
      <x:c r="T181" s="138"/>
      <x:c r="U181" s="138"/>
      <x:c r="V181" s="138"/>
      <x:c r="W181" s="138"/>
      <x:c r="X181" s="138"/>
      <x:c r="Y181" s="138"/>
      <x:c r="Z181" s="138"/>
    </x:row>
    <x:row r="182">
      <x:c r="A182" s="138"/>
      <x:c r="B182" s="138"/>
      <x:c r="C182" s="138"/>
      <x:c r="D182" s="138"/>
      <x:c r="E182" s="138"/>
      <x:c r="F182" s="138"/>
      <x:c r="G182" s="138"/>
      <x:c r="H182" s="138"/>
      <x:c r="I182" s="138"/>
      <x:c r="J182" s="138"/>
      <x:c r="K182" s="138"/>
      <x:c r="L182" s="138"/>
      <x:c r="M182" s="138"/>
      <x:c r="N182" s="138"/>
      <x:c r="O182" s="138"/>
      <x:c r="P182" s="138"/>
      <x:c r="Q182" s="138"/>
      <x:c r="R182" s="138"/>
      <x:c r="S182" s="138"/>
      <x:c r="T182" s="138"/>
      <x:c r="U182" s="138"/>
      <x:c r="V182" s="138"/>
      <x:c r="W182" s="138"/>
      <x:c r="X182" s="138"/>
      <x:c r="Y182" s="138"/>
      <x:c r="Z182" s="138"/>
    </x:row>
    <x:row r="183">
      <x:c r="A183" s="138"/>
      <x:c r="B183" s="138"/>
      <x:c r="C183" s="138"/>
      <x:c r="D183" s="138"/>
      <x:c r="E183" s="138"/>
      <x:c r="F183" s="138"/>
      <x:c r="G183" s="138"/>
      <x:c r="H183" s="138"/>
      <x:c r="I183" s="138"/>
      <x:c r="J183" s="138"/>
      <x:c r="K183" s="138"/>
      <x:c r="L183" s="138"/>
      <x:c r="M183" s="138"/>
      <x:c r="N183" s="138"/>
      <x:c r="O183" s="138"/>
      <x:c r="P183" s="138"/>
      <x:c r="Q183" s="138"/>
      <x:c r="R183" s="138"/>
      <x:c r="S183" s="138"/>
      <x:c r="T183" s="138"/>
      <x:c r="U183" s="138"/>
      <x:c r="V183" s="138"/>
      <x:c r="W183" s="138"/>
      <x:c r="X183" s="138"/>
      <x:c r="Y183" s="138"/>
      <x:c r="Z183" s="138"/>
    </x:row>
    <x:row r="184">
      <x:c r="A184" s="138"/>
      <x:c r="B184" s="138"/>
      <x:c r="C184" s="138"/>
      <x:c r="D184" s="138"/>
      <x:c r="E184" s="138"/>
      <x:c r="F184" s="138"/>
      <x:c r="G184" s="138"/>
      <x:c r="H184" s="138"/>
      <x:c r="I184" s="138"/>
      <x:c r="J184" s="138"/>
      <x:c r="K184" s="138"/>
      <x:c r="L184" s="138"/>
      <x:c r="M184" s="138"/>
      <x:c r="N184" s="138"/>
      <x:c r="O184" s="138"/>
      <x:c r="P184" s="138"/>
      <x:c r="Q184" s="138"/>
      <x:c r="R184" s="138"/>
      <x:c r="S184" s="138"/>
      <x:c r="T184" s="138"/>
      <x:c r="U184" s="138"/>
      <x:c r="V184" s="138"/>
      <x:c r="W184" s="138"/>
      <x:c r="X184" s="138"/>
      <x:c r="Y184" s="138"/>
      <x:c r="Z184" s="138"/>
    </x:row>
    <x:row r="185">
      <x:c r="A185" s="138"/>
      <x:c r="B185" s="138"/>
      <x:c r="C185" s="138"/>
      <x:c r="D185" s="138"/>
      <x:c r="E185" s="138"/>
      <x:c r="F185" s="138"/>
      <x:c r="G185" s="138"/>
      <x:c r="H185" s="138"/>
      <x:c r="I185" s="138"/>
      <x:c r="J185" s="138"/>
      <x:c r="K185" s="138"/>
      <x:c r="L185" s="138"/>
      <x:c r="M185" s="138"/>
      <x:c r="N185" s="138"/>
      <x:c r="O185" s="138"/>
      <x:c r="P185" s="138"/>
      <x:c r="Q185" s="138"/>
      <x:c r="R185" s="138"/>
      <x:c r="S185" s="138"/>
      <x:c r="T185" s="138"/>
      <x:c r="U185" s="138"/>
      <x:c r="V185" s="138"/>
      <x:c r="W185" s="138"/>
      <x:c r="X185" s="138"/>
      <x:c r="Y185" s="138"/>
      <x:c r="Z185" s="138"/>
    </x:row>
    <x:row r="186">
      <x:c r="A186" s="138"/>
      <x:c r="B186" s="138"/>
      <x:c r="C186" s="138"/>
      <x:c r="D186" s="138"/>
      <x:c r="E186" s="138"/>
      <x:c r="F186" s="138"/>
      <x:c r="G186" s="138"/>
      <x:c r="H186" s="138"/>
      <x:c r="I186" s="138"/>
      <x:c r="J186" s="138"/>
      <x:c r="K186" s="138"/>
      <x:c r="L186" s="138"/>
      <x:c r="M186" s="138"/>
      <x:c r="N186" s="138"/>
      <x:c r="O186" s="138"/>
      <x:c r="P186" s="138"/>
      <x:c r="Q186" s="138"/>
      <x:c r="R186" s="138"/>
      <x:c r="S186" s="138"/>
      <x:c r="T186" s="138"/>
      <x:c r="U186" s="138"/>
      <x:c r="V186" s="138"/>
      <x:c r="W186" s="138"/>
      <x:c r="X186" s="138"/>
      <x:c r="Y186" s="138"/>
      <x:c r="Z186" s="138"/>
    </x:row>
    <x:row r="187">
      <x:c r="A187" s="138"/>
      <x:c r="B187" s="138"/>
      <x:c r="C187" s="138"/>
      <x:c r="D187" s="138"/>
      <x:c r="E187" s="138"/>
      <x:c r="F187" s="138"/>
      <x:c r="G187" s="138"/>
      <x:c r="H187" s="138"/>
      <x:c r="I187" s="138"/>
      <x:c r="J187" s="138"/>
      <x:c r="K187" s="138"/>
      <x:c r="L187" s="138"/>
      <x:c r="M187" s="138"/>
      <x:c r="N187" s="138"/>
      <x:c r="O187" s="138"/>
      <x:c r="P187" s="138"/>
      <x:c r="Q187" s="138"/>
      <x:c r="R187" s="138"/>
      <x:c r="S187" s="138"/>
      <x:c r="T187" s="138"/>
      <x:c r="U187" s="138"/>
      <x:c r="V187" s="138"/>
      <x:c r="W187" s="138"/>
      <x:c r="X187" s="138"/>
      <x:c r="Y187" s="138"/>
      <x:c r="Z187" s="138"/>
    </x:row>
    <x:row r="188">
      <x:c r="A188" s="138"/>
      <x:c r="B188" s="138"/>
      <x:c r="C188" s="138"/>
      <x:c r="D188" s="138"/>
      <x:c r="E188" s="138"/>
      <x:c r="F188" s="138"/>
      <x:c r="G188" s="138"/>
      <x:c r="H188" s="138"/>
      <x:c r="I188" s="138"/>
      <x:c r="J188" s="138"/>
      <x:c r="K188" s="138"/>
      <x:c r="L188" s="138"/>
      <x:c r="M188" s="138"/>
      <x:c r="N188" s="138"/>
      <x:c r="O188" s="138"/>
      <x:c r="P188" s="138"/>
      <x:c r="Q188" s="138"/>
      <x:c r="R188" s="138"/>
      <x:c r="S188" s="138"/>
      <x:c r="T188" s="138"/>
      <x:c r="U188" s="138"/>
      <x:c r="V188" s="138"/>
      <x:c r="W188" s="138"/>
      <x:c r="X188" s="138"/>
      <x:c r="Y188" s="138"/>
      <x:c r="Z188" s="138"/>
    </x:row>
    <x:row r="189">
      <x:c r="A189" s="138"/>
      <x:c r="B189" s="138"/>
      <x:c r="C189" s="138"/>
      <x:c r="D189" s="138"/>
      <x:c r="E189" s="138"/>
      <x:c r="F189" s="138"/>
      <x:c r="G189" s="138"/>
      <x:c r="H189" s="138"/>
      <x:c r="I189" s="138"/>
      <x:c r="J189" s="138"/>
      <x:c r="K189" s="138"/>
      <x:c r="L189" s="138"/>
      <x:c r="M189" s="138"/>
      <x:c r="N189" s="138"/>
      <x:c r="O189" s="138"/>
      <x:c r="P189" s="138"/>
      <x:c r="Q189" s="138"/>
      <x:c r="R189" s="138"/>
      <x:c r="S189" s="138"/>
      <x:c r="T189" s="138"/>
      <x:c r="U189" s="138"/>
      <x:c r="V189" s="138"/>
      <x:c r="W189" s="138"/>
      <x:c r="X189" s="138"/>
      <x:c r="Y189" s="138"/>
      <x:c r="Z189" s="138"/>
    </x:row>
    <x:row r="190">
      <x:c r="A190" s="138"/>
      <x:c r="B190" s="138"/>
      <x:c r="C190" s="138"/>
      <x:c r="D190" s="138"/>
      <x:c r="E190" s="138"/>
      <x:c r="F190" s="138"/>
      <x:c r="G190" s="138"/>
      <x:c r="H190" s="138"/>
      <x:c r="I190" s="138"/>
      <x:c r="J190" s="138"/>
      <x:c r="K190" s="138"/>
      <x:c r="L190" s="138"/>
      <x:c r="M190" s="138"/>
      <x:c r="N190" s="138"/>
      <x:c r="O190" s="138"/>
      <x:c r="P190" s="138"/>
      <x:c r="Q190" s="138"/>
      <x:c r="R190" s="138"/>
      <x:c r="S190" s="138"/>
      <x:c r="T190" s="138"/>
      <x:c r="U190" s="138"/>
      <x:c r="V190" s="138"/>
      <x:c r="W190" s="138"/>
      <x:c r="X190" s="138"/>
      <x:c r="Y190" s="138"/>
      <x:c r="Z190" s="138"/>
    </x:row>
    <x:row r="191">
      <x:c r="A191" s="138"/>
      <x:c r="B191" s="138"/>
      <x:c r="C191" s="138"/>
      <x:c r="D191" s="138"/>
      <x:c r="E191" s="138"/>
      <x:c r="F191" s="138"/>
      <x:c r="G191" s="138"/>
      <x:c r="H191" s="138"/>
      <x:c r="I191" s="138"/>
      <x:c r="J191" s="138"/>
      <x:c r="K191" s="138"/>
      <x:c r="L191" s="138"/>
      <x:c r="M191" s="138"/>
      <x:c r="N191" s="138"/>
      <x:c r="O191" s="138"/>
      <x:c r="P191" s="138"/>
      <x:c r="Q191" s="138"/>
      <x:c r="R191" s="138"/>
      <x:c r="S191" s="138"/>
      <x:c r="T191" s="138"/>
      <x:c r="U191" s="138"/>
      <x:c r="V191" s="138"/>
      <x:c r="W191" s="138"/>
      <x:c r="X191" s="138"/>
      <x:c r="Y191" s="138"/>
      <x:c r="Z191" s="138"/>
    </x:row>
    <x:row r="192">
      <x:c r="A192" s="138"/>
      <x:c r="B192" s="138"/>
      <x:c r="C192" s="138"/>
      <x:c r="D192" s="138"/>
      <x:c r="E192" s="138"/>
      <x:c r="F192" s="138"/>
      <x:c r="G192" s="138"/>
      <x:c r="H192" s="138"/>
      <x:c r="I192" s="138"/>
      <x:c r="J192" s="138"/>
      <x:c r="K192" s="138"/>
      <x:c r="L192" s="138"/>
      <x:c r="M192" s="138"/>
      <x:c r="N192" s="138"/>
      <x:c r="O192" s="138"/>
      <x:c r="P192" s="138"/>
      <x:c r="Q192" s="138"/>
      <x:c r="R192" s="138"/>
      <x:c r="S192" s="138"/>
      <x:c r="T192" s="138"/>
      <x:c r="U192" s="138"/>
      <x:c r="V192" s="138"/>
      <x:c r="W192" s="138"/>
      <x:c r="X192" s="138"/>
      <x:c r="Y192" s="138"/>
      <x:c r="Z192" s="138"/>
    </x:row>
    <x:row r="193">
      <x:c r="A193" s="138"/>
      <x:c r="B193" s="138"/>
      <x:c r="C193" s="138"/>
      <x:c r="D193" s="138"/>
      <x:c r="E193" s="138"/>
      <x:c r="F193" s="138"/>
      <x:c r="G193" s="138"/>
      <x:c r="H193" s="138"/>
      <x:c r="I193" s="138"/>
      <x:c r="J193" s="138"/>
      <x:c r="K193" s="138"/>
      <x:c r="L193" s="138"/>
      <x:c r="M193" s="138"/>
      <x:c r="N193" s="138"/>
      <x:c r="O193" s="138"/>
      <x:c r="P193" s="138"/>
      <x:c r="Q193" s="138"/>
      <x:c r="R193" s="138"/>
      <x:c r="S193" s="138"/>
      <x:c r="T193" s="138"/>
      <x:c r="U193" s="138"/>
      <x:c r="V193" s="138"/>
      <x:c r="W193" s="138"/>
      <x:c r="X193" s="138"/>
      <x:c r="Y193" s="138"/>
      <x:c r="Z193" s="138"/>
    </x:row>
    <x:row r="194">
      <x:c r="A194" s="138"/>
      <x:c r="B194" s="138"/>
      <x:c r="C194" s="138"/>
      <x:c r="D194" s="138"/>
      <x:c r="E194" s="138"/>
      <x:c r="F194" s="138"/>
      <x:c r="G194" s="138"/>
      <x:c r="H194" s="138"/>
      <x:c r="I194" s="138"/>
      <x:c r="J194" s="138"/>
      <x:c r="K194" s="138"/>
      <x:c r="L194" s="138"/>
      <x:c r="M194" s="138"/>
      <x:c r="N194" s="138"/>
      <x:c r="O194" s="138"/>
      <x:c r="P194" s="138"/>
      <x:c r="Q194" s="138"/>
      <x:c r="R194" s="138"/>
      <x:c r="S194" s="138"/>
      <x:c r="T194" s="138"/>
      <x:c r="U194" s="138"/>
      <x:c r="V194" s="138"/>
      <x:c r="W194" s="138"/>
      <x:c r="X194" s="138"/>
      <x:c r="Y194" s="138"/>
      <x:c r="Z194" s="138"/>
    </x:row>
    <x:row r="195">
      <x:c r="A195" s="138"/>
      <x:c r="B195" s="138"/>
      <x:c r="C195" s="138"/>
      <x:c r="D195" s="138"/>
      <x:c r="E195" s="138"/>
      <x:c r="F195" s="138"/>
      <x:c r="G195" s="138"/>
      <x:c r="H195" s="138"/>
      <x:c r="I195" s="138"/>
      <x:c r="J195" s="138"/>
      <x:c r="K195" s="138"/>
      <x:c r="L195" s="138"/>
      <x:c r="M195" s="138"/>
      <x:c r="N195" s="138"/>
      <x:c r="O195" s="138"/>
      <x:c r="P195" s="138"/>
      <x:c r="Q195" s="138"/>
      <x:c r="R195" s="138"/>
      <x:c r="S195" s="138"/>
      <x:c r="T195" s="138"/>
      <x:c r="U195" s="138"/>
      <x:c r="V195" s="138"/>
      <x:c r="W195" s="138"/>
      <x:c r="X195" s="138"/>
      <x:c r="Y195" s="138"/>
      <x:c r="Z195" s="138"/>
    </x:row>
    <x:row r="196">
      <x:c r="A196" s="138"/>
      <x:c r="B196" s="138"/>
      <x:c r="C196" s="138"/>
      <x:c r="D196" s="138"/>
      <x:c r="E196" s="138"/>
      <x:c r="F196" s="138"/>
      <x:c r="G196" s="138"/>
      <x:c r="H196" s="138"/>
      <x:c r="I196" s="138"/>
      <x:c r="J196" s="138"/>
      <x:c r="K196" s="138"/>
      <x:c r="L196" s="138"/>
      <x:c r="M196" s="138"/>
      <x:c r="N196" s="138"/>
      <x:c r="O196" s="138"/>
      <x:c r="P196" s="138"/>
      <x:c r="Q196" s="138"/>
      <x:c r="R196" s="138"/>
      <x:c r="S196" s="138"/>
      <x:c r="T196" s="138"/>
      <x:c r="U196" s="138"/>
      <x:c r="V196" s="138"/>
      <x:c r="W196" s="138"/>
      <x:c r="X196" s="138"/>
      <x:c r="Y196" s="138"/>
      <x:c r="Z196" s="138"/>
    </x:row>
    <x:row r="197">
      <x:c r="A197" s="138"/>
      <x:c r="B197" s="138"/>
      <x:c r="C197" s="138"/>
      <x:c r="D197" s="138"/>
      <x:c r="E197" s="138"/>
      <x:c r="F197" s="138"/>
      <x:c r="G197" s="138"/>
      <x:c r="H197" s="138"/>
      <x:c r="I197" s="138"/>
      <x:c r="J197" s="138"/>
      <x:c r="K197" s="138"/>
      <x:c r="L197" s="138"/>
      <x:c r="M197" s="138"/>
      <x:c r="N197" s="138"/>
      <x:c r="O197" s="138"/>
      <x:c r="P197" s="138"/>
      <x:c r="Q197" s="138"/>
      <x:c r="R197" s="138"/>
      <x:c r="S197" s="138"/>
      <x:c r="T197" s="138"/>
      <x:c r="U197" s="138"/>
      <x:c r="V197" s="138"/>
      <x:c r="W197" s="138"/>
      <x:c r="X197" s="138"/>
      <x:c r="Y197" s="138"/>
      <x:c r="Z197" s="138"/>
    </x:row>
    <x:row r="198">
      <x:c r="A198" s="138"/>
      <x:c r="B198" s="138"/>
      <x:c r="C198" s="138"/>
      <x:c r="D198" s="138"/>
      <x:c r="E198" s="138"/>
      <x:c r="F198" s="138"/>
      <x:c r="G198" s="138"/>
      <x:c r="H198" s="138"/>
      <x:c r="I198" s="138"/>
      <x:c r="J198" s="138"/>
      <x:c r="K198" s="138"/>
      <x:c r="L198" s="138"/>
      <x:c r="M198" s="138"/>
      <x:c r="N198" s="138"/>
      <x:c r="O198" s="138"/>
      <x:c r="P198" s="138"/>
      <x:c r="Q198" s="138"/>
      <x:c r="R198" s="138"/>
      <x:c r="S198" s="138"/>
      <x:c r="T198" s="138"/>
      <x:c r="U198" s="138"/>
      <x:c r="V198" s="138"/>
      <x:c r="W198" s="138"/>
      <x:c r="X198" s="138"/>
      <x:c r="Y198" s="138"/>
      <x:c r="Z198" s="138"/>
    </x:row>
    <x:row r="199">
      <x:c r="A199" s="138"/>
      <x:c r="B199" s="138"/>
      <x:c r="C199" s="138"/>
      <x:c r="D199" s="138"/>
      <x:c r="E199" s="138"/>
      <x:c r="F199" s="138"/>
      <x:c r="G199" s="138"/>
      <x:c r="H199" s="138"/>
      <x:c r="I199" s="138"/>
      <x:c r="J199" s="138"/>
      <x:c r="K199" s="138"/>
      <x:c r="L199" s="138"/>
      <x:c r="M199" s="138"/>
      <x:c r="N199" s="138"/>
      <x:c r="O199" s="138"/>
      <x:c r="P199" s="138"/>
      <x:c r="Q199" s="138"/>
      <x:c r="R199" s="138"/>
      <x:c r="S199" s="138"/>
      <x:c r="T199" s="138"/>
      <x:c r="U199" s="138"/>
      <x:c r="V199" s="138"/>
      <x:c r="W199" s="138"/>
      <x:c r="X199" s="138"/>
      <x:c r="Y199" s="138"/>
      <x:c r="Z199" s="138"/>
    </x:row>
    <x:row r="200">
      <x:c r="A200" s="138"/>
      <x:c r="B200" s="138"/>
      <x:c r="C200" s="138"/>
      <x:c r="D200" s="138"/>
      <x:c r="E200" s="138"/>
      <x:c r="F200" s="138"/>
      <x:c r="G200" s="138"/>
      <x:c r="H200" s="138"/>
      <x:c r="I200" s="138"/>
      <x:c r="J200" s="138"/>
      <x:c r="K200" s="138"/>
      <x:c r="L200" s="138"/>
      <x:c r="M200" s="138"/>
      <x:c r="N200" s="138"/>
      <x:c r="O200" s="138"/>
      <x:c r="P200" s="138"/>
      <x:c r="Q200" s="138"/>
      <x:c r="R200" s="138"/>
      <x:c r="S200" s="138"/>
      <x:c r="T200" s="138"/>
      <x:c r="U200" s="138"/>
      <x:c r="V200" s="138"/>
      <x:c r="W200" s="138"/>
      <x:c r="X200" s="138"/>
      <x:c r="Y200" s="138"/>
      <x:c r="Z200" s="138"/>
    </x:row>
  </x:sheetData>
  <x:mergeCells>
    <x:mergeCell ref="A1:F1"/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15" hidden="0" customWidth="1"/>
    <x:col min="3" max="3" width="15" hidden="0" customWidth="1"/>
    <x:col min="4" max="4" width="16" hidden="0" customWidth="1"/>
    <x:col min="5" max="5" width="15" hidden="0" customWidth="1"/>
    <x:col min="6" max="6" width="14" hidden="0" customWidth="1"/>
    <x:col min="7" max="7" width="34" hidden="0" customWidth="1"/>
    <x:col min="8" max="8" width="3" hidden="0" customWidth="1"/>
    <x:col min="9" max="9" width="3" hidden="0" customWidth="1"/>
    <x:col min="10" max="10" width="3" hidden="0" customWidth="1"/>
  </x:cols>
  <x:sheetData>
    <x:row r="1" ht="32" customHeight="1">
      <x:c r="A1" s="137" t="str">
        <x:v>Monthly Usage Scenario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  <x:c r="V1" s="138"/>
      <x:c r="W1" s="138"/>
      <x:c r="X1" s="138"/>
      <x:c r="Y1" s="138"/>
      <x:c r="Z1" s="138"/>
    </x:row>
    <x:row r="2" ht="30" customHeight="1">
      <x:c r="A2" s="139" t="str">
        <x:v>Default example: 100 CRM contacts + 100 accounts, enrich 40 important imported leads, then buy 100 net-new leads.</x:v>
      </x:c>
      <x:c r="B2" s="138"/>
      <x:c r="C2" s="138"/>
      <x:c r="D2" s="138"/>
      <x:c r="E2" s="138"/>
      <x:c r="F2" s="138"/>
      <x:c r="G2" s="138"/>
      <x:c r="H2" s="138"/>
      <x:c r="I2" s="138"/>
      <x:c r="J2" s="138"/>
      <x:c r="K2" s="138"/>
      <x:c r="L2" s="138"/>
      <x:c r="M2" s="138"/>
      <x:c r="N2" s="138"/>
      <x:c r="O2" s="138"/>
      <x:c r="P2" s="138"/>
      <x:c r="Q2" s="138"/>
      <x:c r="R2" s="138"/>
      <x:c r="S2" s="138"/>
      <x:c r="T2" s="138"/>
      <x:c r="U2" s="138"/>
      <x:c r="V2" s="138"/>
      <x:c r="W2" s="138"/>
      <x:c r="X2" s="138"/>
      <x:c r="Y2" s="138"/>
      <x:c r="Z2" s="138"/>
    </x:row>
    <x:row r="3">
      <x:c r="A3" s="138"/>
      <x:c r="B3" s="138"/>
      <x:c r="C3" s="138"/>
      <x:c r="D3" s="138"/>
      <x:c r="E3" s="138"/>
      <x:c r="F3" s="138"/>
      <x:c r="G3" s="138"/>
      <x:c r="H3" s="138"/>
      <x:c r="I3" s="138"/>
      <x:c r="J3" s="138"/>
      <x:c r="K3" s="138"/>
      <x:c r="L3" s="138"/>
      <x:c r="M3" s="138"/>
      <x:c r="N3" s="138"/>
      <x:c r="O3" s="138"/>
      <x:c r="P3" s="138"/>
      <x:c r="Q3" s="138"/>
      <x:c r="R3" s="138"/>
      <x:c r="S3" s="138"/>
      <x:c r="T3" s="138"/>
      <x:c r="U3" s="138"/>
      <x:c r="V3" s="138"/>
      <x:c r="W3" s="138"/>
      <x:c r="X3" s="138"/>
      <x:c r="Y3" s="138"/>
      <x:c r="Z3" s="138"/>
    </x:row>
    <x:row r="4" ht="22" customHeight="1">
      <x:c r="A4" s="140" t="str">
        <x:v>Editable usage inputs</x:v>
      </x:c>
      <x:c r="B4" s="138"/>
      <x:c r="C4" s="138"/>
      <x:c r="D4" s="138"/>
      <x:c r="E4" s="138"/>
      <x:c r="F4" s="138"/>
      <x:c r="G4" s="138"/>
      <x:c r="H4" s="138"/>
      <x:c r="I4" s="138"/>
      <x:c r="J4" s="138"/>
      <x:c r="K4" s="138"/>
      <x:c r="L4" s="138"/>
      <x:c r="M4" s="138"/>
      <x:c r="N4" s="138"/>
      <x:c r="O4" s="138"/>
      <x:c r="P4" s="138"/>
      <x:c r="Q4" s="138"/>
      <x:c r="R4" s="138"/>
      <x:c r="S4" s="138"/>
      <x:c r="T4" s="138"/>
      <x:c r="U4" s="138"/>
      <x:c r="V4" s="138"/>
      <x:c r="W4" s="138"/>
      <x:c r="X4" s="138"/>
      <x:c r="Y4" s="138"/>
      <x:c r="Z4" s="138"/>
    </x:row>
    <x:row r="5">
      <x:c r="A5" s="141" t="str">
        <x:v>Input</x:v>
      </x:c>
      <x:c r="B5" s="142" t="str">
        <x:v>Value</x:v>
      </x:c>
      <x:c r="C5" s="143" t="str">
        <x:v>Notes</x:v>
      </x:c>
      <x:c r="D5" s="138"/>
      <x:c r="E5" s="138"/>
      <x:c r="F5" s="138"/>
      <x:c r="G5" s="138"/>
      <x:c r="H5" s="138"/>
      <x:c r="I5" s="138"/>
      <x:c r="J5" s="138"/>
      <x:c r="K5" s="138"/>
      <x:c r="L5" s="138"/>
      <x:c r="M5" s="138"/>
      <x:c r="N5" s="138"/>
      <x:c r="O5" s="138"/>
      <x:c r="P5" s="138"/>
      <x:c r="Q5" s="138"/>
      <x:c r="R5" s="138"/>
      <x:c r="S5" s="138"/>
      <x:c r="T5" s="138"/>
      <x:c r="U5" s="138"/>
      <x:c r="V5" s="138"/>
      <x:c r="W5" s="138"/>
      <x:c r="X5" s="138"/>
      <x:c r="Y5" s="138"/>
      <x:c r="Z5" s="138"/>
    </x:row>
    <x:row r="6">
      <x:c r="A6" s="144" t="str">
        <x:v>Imported CRM contacts</x:v>
      </x:c>
      <x:c r="B6" s="160" t="n">
        <x:v>100</x:v>
      </x:c>
      <x:c r="C6" s="146" t="str">
        <x:v>Raw import is free.</x:v>
      </x:c>
      <x:c r="D6" s="138"/>
      <x:c r="E6" s="138"/>
      <x:c r="F6" s="138"/>
      <x:c r="G6" s="138"/>
      <x:c r="H6" s="138"/>
      <x:c r="I6" s="138"/>
      <x:c r="J6" s="138"/>
      <x:c r="K6" s="138"/>
      <x:c r="L6" s="138"/>
      <x:c r="M6" s="138"/>
      <x:c r="N6" s="138"/>
      <x:c r="O6" s="138"/>
      <x:c r="P6" s="138"/>
      <x:c r="Q6" s="138"/>
      <x:c r="R6" s="138"/>
      <x:c r="S6" s="138"/>
      <x:c r="T6" s="138"/>
      <x:c r="U6" s="138"/>
      <x:c r="V6" s="138"/>
      <x:c r="W6" s="138"/>
      <x:c r="X6" s="138"/>
      <x:c r="Y6" s="138"/>
      <x:c r="Z6" s="138"/>
    </x:row>
    <x:row r="7">
      <x:c r="A7" s="152" t="str">
        <x:v>Imported CRM accounts</x:v>
      </x:c>
      <x:c r="B7" s="161" t="n">
        <x:v>100</x:v>
      </x:c>
      <x:c r="C7" s="155" t="str">
        <x:v>Raw import is free.</x:v>
      </x:c>
      <x:c r="D7" s="138"/>
      <x:c r="E7" s="138"/>
      <x:c r="F7" s="138"/>
      <x:c r="G7" s="138"/>
      <x:c r="H7" s="138"/>
      <x:c r="I7" s="138"/>
      <x:c r="J7" s="138"/>
      <x:c r="K7" s="138"/>
      <x:c r="L7" s="138"/>
      <x:c r="M7" s="138"/>
      <x:c r="N7" s="138"/>
      <x:c r="O7" s="138"/>
      <x:c r="P7" s="138"/>
      <x:c r="Q7" s="138"/>
      <x:c r="R7" s="138"/>
      <x:c r="S7" s="138"/>
      <x:c r="T7" s="138"/>
      <x:c r="U7" s="138"/>
      <x:c r="V7" s="138"/>
      <x:c r="W7" s="138"/>
      <x:c r="X7" s="138"/>
      <x:c r="Y7" s="138"/>
      <x:c r="Z7" s="138"/>
    </x:row>
    <x:row r="8">
      <x:c r="A8" s="152" t="str">
        <x:v>Important imported leads enriched</x:v>
      </x:c>
      <x:c r="B8" s="161" t="n">
        <x:v>40</x:v>
      </x:c>
      <x:c r="C8" s="155" t="str">
        <x:v>Ranked after cheap triage.</x:v>
      </x:c>
      <x:c r="D8" s="138"/>
      <x:c r="E8" s="138"/>
      <x:c r="F8" s="138"/>
      <x:c r="G8" s="138"/>
      <x:c r="H8" s="138"/>
      <x:c r="I8" s="138"/>
      <x:c r="J8" s="138"/>
      <x:c r="K8" s="138"/>
      <x:c r="L8" s="138"/>
      <x:c r="M8" s="138"/>
      <x:c r="N8" s="138"/>
      <x:c r="O8" s="138"/>
      <x:c r="P8" s="138"/>
      <x:c r="Q8" s="138"/>
      <x:c r="R8" s="138"/>
      <x:c r="S8" s="138"/>
      <x:c r="T8" s="138"/>
      <x:c r="U8" s="138"/>
      <x:c r="V8" s="138"/>
      <x:c r="W8" s="138"/>
      <x:c r="X8" s="138"/>
      <x:c r="Y8" s="138"/>
      <x:c r="Z8" s="138"/>
    </x:row>
    <x:row r="9">
      <x:c r="A9" s="152" t="str">
        <x:v>Net-new leads bought</x:v>
      </x:c>
      <x:c r="B9" s="161" t="n">
        <x:v>100</x:v>
      </x:c>
      <x:c r="C9" s="155" t="str">
        <x:v>Contact + company.</x:v>
      </x:c>
      <x:c r="D9" s="138"/>
      <x:c r="E9" s="138"/>
      <x:c r="F9" s="138"/>
      <x:c r="G9" s="138"/>
      <x:c r="H9" s="138"/>
      <x:c r="I9" s="138"/>
      <x:c r="J9" s="138"/>
      <x:c r="K9" s="138"/>
      <x:c r="L9" s="138"/>
      <x:c r="M9" s="138"/>
      <x:c r="N9" s="138"/>
      <x:c r="O9" s="138"/>
      <x:c r="P9" s="138"/>
      <x:c r="Q9" s="138"/>
      <x:c r="R9" s="138"/>
      <x:c r="S9" s="138"/>
      <x:c r="T9" s="138"/>
      <x:c r="U9" s="138"/>
      <x:c r="V9" s="138"/>
      <x:c r="W9" s="138"/>
      <x:c r="X9" s="138"/>
      <x:c r="Y9" s="138"/>
      <x:c r="Z9" s="138"/>
    </x:row>
    <x:row r="10">
      <x:c r="A10" s="152" t="str">
        <x:v>Email validations</x:v>
      </x:c>
      <x:c r="B10" s="161" t="n">
        <x:f>ROUND((B8+B9)*Assumptions!B29,0)</x:f>
        <x:v>42</x:v>
      </x:c>
      <x:c r="C10" s="155" t="str">
        <x:v>Default is 30% of enriched leads.</x:v>
      </x:c>
      <x:c r="D10" s="138"/>
      <x:c r="E10" s="138"/>
      <x:c r="F10" s="138"/>
      <x:c r="G10" s="138"/>
      <x:c r="H10" s="138"/>
      <x:c r="I10" s="138"/>
      <x:c r="J10" s="138"/>
      <x:c r="K10" s="138"/>
      <x:c r="L10" s="138"/>
      <x:c r="M10" s="138"/>
      <x:c r="N10" s="138"/>
      <x:c r="O10" s="138"/>
      <x:c r="P10" s="138"/>
      <x:c r="Q10" s="138"/>
      <x:c r="R10" s="138"/>
      <x:c r="S10" s="138"/>
      <x:c r="T10" s="138"/>
      <x:c r="U10" s="138"/>
      <x:c r="V10" s="138"/>
      <x:c r="W10" s="138"/>
      <x:c r="X10" s="138"/>
      <x:c r="Y10" s="138"/>
      <x:c r="Z10" s="138"/>
    </x:row>
    <x:row r="11">
      <x:c r="A11" s="152" t="str">
        <x:v>Successful new-email finds</x:v>
      </x:c>
      <x:c r="B11" s="161" t="n">
        <x:v>10</x:v>
      </x:c>
      <x:c r="C11" s="155" t="str">
        <x:v>User-triggered.</x:v>
      </x:c>
      <x:c r="D11" s="138"/>
      <x:c r="E11" s="138"/>
      <x:c r="F11" s="138"/>
      <x:c r="G11" s="138"/>
      <x:c r="H11" s="138"/>
      <x:c r="I11" s="138"/>
      <x:c r="J11" s="138"/>
      <x:c r="K11" s="138"/>
      <x:c r="L11" s="138"/>
      <x:c r="M11" s="138"/>
      <x:c r="N11" s="138"/>
      <x:c r="O11" s="138"/>
      <x:c r="P11" s="138"/>
      <x:c r="Q11" s="138"/>
      <x:c r="R11" s="138"/>
      <x:c r="S11" s="138"/>
      <x:c r="T11" s="138"/>
      <x:c r="U11" s="138"/>
      <x:c r="V11" s="138"/>
      <x:c r="W11" s="138"/>
      <x:c r="X11" s="138"/>
      <x:c r="Y11" s="138"/>
      <x:c r="Z11" s="138"/>
    </x:row>
    <x:row r="12">
      <x:c r="A12" s="152" t="str">
        <x:v>Phone reveals</x:v>
      </x:c>
      <x:c r="B12" s="161" t="n">
        <x:v>25</x:v>
      </x:c>
      <x:c r="C12" s="155" t="str">
        <x:v>User-triggered.</x:v>
      </x:c>
      <x:c r="D12" s="138"/>
      <x:c r="E12" s="138"/>
      <x:c r="F12" s="138"/>
      <x:c r="G12" s="138"/>
      <x:c r="H12" s="138"/>
      <x:c r="I12" s="138"/>
      <x:c r="J12" s="138"/>
      <x:c r="K12" s="138"/>
      <x:c r="L12" s="138"/>
      <x:c r="M12" s="138"/>
      <x:c r="N12" s="138"/>
      <x:c r="O12" s="138"/>
      <x:c r="P12" s="138"/>
      <x:c r="Q12" s="138"/>
      <x:c r="R12" s="138"/>
      <x:c r="S12" s="138"/>
      <x:c r="T12" s="138"/>
      <x:c r="U12" s="138"/>
      <x:c r="V12" s="138"/>
      <x:c r="W12" s="138"/>
      <x:c r="X12" s="138"/>
      <x:c r="Y12" s="138"/>
      <x:c r="Z12" s="138"/>
    </x:row>
    <x:row r="13">
      <x:c r="A13" s="152" t="str">
        <x:v>Outreach sequences</x:v>
      </x:c>
      <x:c r="B13" s="161" t="n">
        <x:v>20</x:v>
      </x:c>
      <x:c r="C13" s="155" t="str">
        <x:v>Complete 7-touch sequences staged for Lemlist.</x:v>
      </x:c>
      <x:c r="D13" s="138"/>
      <x:c r="E13" s="138"/>
      <x:c r="F13" s="138"/>
      <x:c r="G13" s="138"/>
      <x:c r="H13" s="138"/>
      <x:c r="I13" s="138"/>
      <x:c r="J13" s="138"/>
      <x:c r="K13" s="138"/>
      <x:c r="L13" s="138"/>
      <x:c r="M13" s="138"/>
      <x:c r="N13" s="138"/>
      <x:c r="O13" s="138"/>
      <x:c r="P13" s="138"/>
      <x:c r="Q13" s="138"/>
      <x:c r="R13" s="138"/>
      <x:c r="S13" s="138"/>
      <x:c r="T13" s="138"/>
      <x:c r="U13" s="138"/>
      <x:c r="V13" s="138"/>
      <x:c r="W13" s="138"/>
      <x:c r="X13" s="138"/>
      <x:c r="Y13" s="138"/>
      <x:c r="Z13" s="138"/>
    </x:row>
    <x:row r="14">
      <x:c r="A14" s="152" t="str">
        <x:v>High-fit contacts monitored</x:v>
      </x:c>
      <x:c r="B14" s="161" t="n">
        <x:v>140</x:v>
      </x:c>
      <x:c r="C14" s="155" t="str">
        <x:v>Existing high-fit + newly important leads.</x:v>
      </x:c>
      <x:c r="D14" s="138"/>
      <x:c r="E14" s="138"/>
      <x:c r="F14" s="138"/>
      <x:c r="G14" s="138"/>
      <x:c r="H14" s="138"/>
      <x:c r="I14" s="138"/>
      <x:c r="J14" s="138"/>
      <x:c r="K14" s="138"/>
      <x:c r="L14" s="138"/>
      <x:c r="M14" s="138"/>
      <x:c r="N14" s="138"/>
      <x:c r="O14" s="138"/>
      <x:c r="P14" s="138"/>
      <x:c r="Q14" s="138"/>
      <x:c r="R14" s="138"/>
      <x:c r="S14" s="138"/>
      <x:c r="T14" s="138"/>
      <x:c r="U14" s="138"/>
      <x:c r="V14" s="138"/>
      <x:c r="W14" s="138"/>
      <x:c r="X14" s="138"/>
      <x:c r="Y14" s="138"/>
      <x:c r="Z14" s="138"/>
    </x:row>
    <x:row r="15">
      <x:c r="A15" s="152" t="str">
        <x:v>High-fit accounts monitored</x:v>
      </x:c>
      <x:c r="B15" s="161" t="n">
        <x:v>140</x:v>
      </x:c>
      <x:c r="C15" s="155" t="str">
        <x:v>Hiring and public signals.</x:v>
      </x:c>
      <x:c r="D15" s="138"/>
      <x:c r="E15" s="138"/>
      <x:c r="F15" s="138"/>
      <x:c r="G15" s="138"/>
      <x:c r="H15" s="138"/>
      <x:c r="I15" s="138"/>
      <x:c r="J15" s="138"/>
      <x:c r="K15" s="138"/>
      <x:c r="L15" s="138"/>
      <x:c r="M15" s="138"/>
      <x:c r="N15" s="138"/>
      <x:c r="O15" s="138"/>
      <x:c r="P15" s="138"/>
      <x:c r="Q15" s="138"/>
      <x:c r="R15" s="138"/>
      <x:c r="S15" s="138"/>
      <x:c r="T15" s="138"/>
      <x:c r="U15" s="138"/>
      <x:c r="V15" s="138"/>
      <x:c r="W15" s="138"/>
      <x:c r="X15" s="138"/>
      <x:c r="Y15" s="138"/>
      <x:c r="Z15" s="138"/>
    </x:row>
    <x:row r="16">
      <x:c r="A16" s="152" t="str">
        <x:v>Monitoring cadence</x:v>
      </x:c>
      <x:c r="B16" s="161" t="str">
        <x:v>Monthly</x:v>
      </x:c>
      <x:c r="C16" s="155" t="str">
        <x:v>Starter default.</x:v>
      </x:c>
      <x:c r="D16" s="138"/>
      <x:c r="E16" s="138"/>
      <x:c r="F16" s="138"/>
      <x:c r="G16" s="138"/>
      <x:c r="H16" s="138"/>
      <x:c r="I16" s="138"/>
      <x:c r="J16" s="138"/>
      <x:c r="K16" s="138"/>
      <x:c r="L16" s="138"/>
      <x:c r="M16" s="138"/>
      <x:c r="N16" s="138"/>
      <x:c r="O16" s="138"/>
      <x:c r="P16" s="138"/>
      <x:c r="Q16" s="138"/>
      <x:c r="R16" s="138"/>
      <x:c r="S16" s="138"/>
      <x:c r="T16" s="138"/>
      <x:c r="U16" s="138"/>
      <x:c r="V16" s="138"/>
      <x:c r="W16" s="138"/>
      <x:c r="X16" s="138"/>
      <x:c r="Y16" s="138"/>
      <x:c r="Z16" s="138"/>
    </x:row>
    <x:row r="17">
      <x:c r="A17" s="147" t="str">
        <x:v>Sweep count / month</x:v>
      </x:c>
      <x:c r="B17" s="148" t="n">
        <x:v>1</x:v>
      </x:c>
      <x:c r="C17" s="149" t="str">
        <x:v>Use 4.33 for weekly.</x:v>
      </x:c>
      <x:c r="D17" s="138"/>
      <x:c r="E17" s="138"/>
      <x:c r="F17" s="138"/>
      <x:c r="G17" s="138"/>
      <x:c r="H17" s="138"/>
      <x:c r="I17" s="138"/>
      <x:c r="J17" s="138"/>
      <x:c r="K17" s="138"/>
      <x:c r="L17" s="138"/>
      <x:c r="M17" s="138"/>
      <x:c r="N17" s="138"/>
      <x:c r="O17" s="138"/>
      <x:c r="P17" s="138"/>
      <x:c r="Q17" s="138"/>
      <x:c r="R17" s="138"/>
      <x:c r="S17" s="138"/>
      <x:c r="T17" s="138"/>
      <x:c r="U17" s="138"/>
      <x:c r="V17" s="138"/>
      <x:c r="W17" s="138"/>
      <x:c r="X17" s="138"/>
      <x:c r="Y17" s="138"/>
      <x:c r="Z17" s="138"/>
    </x:row>
    <x:row r="18">
      <x:c r="A18" s="138"/>
      <x:c r="B18" s="138"/>
      <x:c r="C18" s="138"/>
      <x:c r="D18" s="138"/>
      <x:c r="E18" s="138"/>
      <x:c r="F18" s="138"/>
      <x:c r="G18" s="138"/>
      <x:c r="H18" s="138"/>
      <x:c r="I18" s="138"/>
      <x:c r="J18" s="138"/>
      <x:c r="K18" s="138"/>
      <x:c r="L18" s="138"/>
      <x:c r="M18" s="138"/>
      <x:c r="N18" s="138"/>
      <x:c r="O18" s="138"/>
      <x:c r="P18" s="138"/>
      <x:c r="Q18" s="138"/>
      <x:c r="R18" s="138"/>
      <x:c r="S18" s="138"/>
      <x:c r="T18" s="138"/>
      <x:c r="U18" s="138"/>
      <x:c r="V18" s="138"/>
      <x:c r="W18" s="138"/>
      <x:c r="X18" s="138"/>
      <x:c r="Y18" s="138"/>
      <x:c r="Z18" s="138"/>
    </x:row>
    <x:row r="19" ht="22" customHeight="1">
      <x:c r="A19" s="140" t="str">
        <x:v>Credit consumption</x:v>
      </x:c>
      <x:c r="B19" s="138"/>
      <x:c r="C19" s="138"/>
      <x:c r="D19" s="138"/>
      <x:c r="E19" s="138"/>
      <x:c r="F19" s="138"/>
      <x:c r="G19" s="138"/>
      <x:c r="H19" s="138"/>
      <x:c r="I19" s="138"/>
      <x:c r="J19" s="138"/>
      <x:c r="K19" s="138"/>
      <x:c r="L19" s="138"/>
      <x:c r="M19" s="138"/>
      <x:c r="N19" s="138"/>
      <x:c r="O19" s="138"/>
      <x:c r="P19" s="138"/>
      <x:c r="Q19" s="138"/>
      <x:c r="R19" s="138"/>
      <x:c r="S19" s="138"/>
      <x:c r="T19" s="138"/>
      <x:c r="U19" s="138"/>
      <x:c r="V19" s="138"/>
      <x:c r="W19" s="138"/>
      <x:c r="X19" s="138"/>
      <x:c r="Y19" s="138"/>
      <x:c r="Z19" s="138"/>
    </x:row>
    <x:row r="20">
      <x:c r="A20" s="141" t="str">
        <x:v>Action</x:v>
      </x:c>
      <x:c r="B20" s="142" t="str">
        <x:v>Volume</x:v>
      </x:c>
      <x:c r="C20" s="142" t="str">
        <x:v>Credits / unit</x:v>
      </x:c>
      <x:c r="D20" s="142" t="str">
        <x:v>Credits used</x:v>
      </x:c>
      <x:c r="E20" s="142" t="str">
        <x:v>Base COGS $</x:v>
      </x:c>
      <x:c r="F20" s="142" t="str">
        <x:v>% of credits</x:v>
      </x:c>
      <x:c r="G20" s="143" t="str">
        <x:v>Comment</x:v>
      </x:c>
      <x:c r="H20" s="138"/>
      <x:c r="I20" s="138"/>
      <x:c r="J20" s="138"/>
      <x:c r="K20" s="138"/>
      <x:c r="L20" s="138"/>
      <x:c r="M20" s="138"/>
      <x:c r="N20" s="138"/>
      <x:c r="O20" s="138"/>
      <x:c r="P20" s="138"/>
      <x:c r="Q20" s="138"/>
      <x:c r="R20" s="138"/>
      <x:c r="S20" s="138"/>
      <x:c r="T20" s="138"/>
      <x:c r="U20" s="138"/>
      <x:c r="V20" s="138"/>
      <x:c r="W20" s="138"/>
      <x:c r="X20" s="138"/>
      <x:c r="Y20" s="138"/>
      <x:c r="Z20" s="138"/>
    </x:row>
    <x:row r="21">
      <x:c r="A21" s="144" t="str">
        <x:v>Triage imported records</x:v>
      </x:c>
      <x:c r="B21" s="151" t="n">
        <x:f>B6+B7</x:f>
        <x:v>200</x:v>
      </x:c>
      <x:c r="C21" s="164" t="n">
        <x:v>0.1</x:v>
      </x:c>
      <x:c r="D21" s="164" t="n">
        <x:f>B21*C21</x:f>
        <x:v>20</x:v>
      </x:c>
      <x:c r="E21" s="196" t="n">
        <x:f>B21*'Action Credits'!D7</x:f>
        <x:v>0.13999999999999999</x:v>
      </x:c>
      <x:c r="F21" s="197" t="n">
        <x:f>IF($D$28=0,0,D21/$D$28)</x:f>
        <x:v>0.015255530129672006</x:v>
      </x:c>
      <x:c r="G21" s="146" t="str">
        <x:v>Usually covered by initial allowance.</x:v>
      </x:c>
      <x:c r="H21" s="138"/>
      <x:c r="I21" s="138"/>
      <x:c r="J21" s="138"/>
      <x:c r="K21" s="138"/>
      <x:c r="L21" s="138"/>
      <x:c r="M21" s="138"/>
      <x:c r="N21" s="138"/>
      <x:c r="O21" s="138"/>
      <x:c r="P21" s="138"/>
      <x:c r="Q21" s="138"/>
      <x:c r="R21" s="138"/>
      <x:c r="S21" s="138"/>
      <x:c r="T21" s="138"/>
      <x:c r="U21" s="138"/>
      <x:c r="V21" s="138"/>
      <x:c r="W21" s="138"/>
      <x:c r="X21" s="138"/>
      <x:c r="Y21" s="138"/>
      <x:c r="Z21" s="138"/>
    </x:row>
    <x:row r="22">
      <x:c r="A22" s="152" t="str">
        <x:v>Imported lead enrichment</x:v>
      </x:c>
      <x:c r="B22" s="154" t="n">
        <x:f>B8</x:f>
        <x:v>40</x:v>
      </x:c>
      <x:c r="C22" s="167" t="n">
        <x:v>4</x:v>
      </x:c>
      <x:c r="D22" s="167" t="n">
        <x:f>B22*C22</x:f>
        <x:v>160</x:v>
      </x:c>
      <x:c r="E22" s="198" t="n">
        <x:f>B22*'Action Credits'!D8</x:f>
        <x:v>1.3</x:v>
      </x:c>
      <x:c r="F22" s="199" t="n">
        <x:f>IF($D$28=0,0,D22/$D$28)</x:f>
        <x:v>0.12204424103737604</x:v>
      </x:c>
      <x:c r="G22" s="155" t="str">
        <x:v>Protected by import spend cap.</x:v>
      </x:c>
      <x:c r="H22" s="138"/>
      <x:c r="I22" s="138"/>
      <x:c r="J22" s="138"/>
      <x:c r="K22" s="138"/>
      <x:c r="L22" s="138"/>
      <x:c r="M22" s="138"/>
      <x:c r="N22" s="138"/>
      <x:c r="O22" s="138"/>
      <x:c r="P22" s="138"/>
      <x:c r="Q22" s="138"/>
      <x:c r="R22" s="138"/>
      <x:c r="S22" s="138"/>
      <x:c r="T22" s="138"/>
      <x:c r="U22" s="138"/>
      <x:c r="V22" s="138"/>
      <x:c r="W22" s="138"/>
      <x:c r="X22" s="138"/>
      <x:c r="Y22" s="138"/>
      <x:c r="Z22" s="138"/>
    </x:row>
    <x:row r="23">
      <x:c r="A23" s="152" t="str">
        <x:v>Net-new lead purchase</x:v>
      </x:c>
      <x:c r="B23" s="154" t="n">
        <x:f>B9</x:f>
        <x:v>100</x:v>
      </x:c>
      <x:c r="C23" s="167" t="n">
        <x:v>4</x:v>
      </x:c>
      <x:c r="D23" s="167" t="n">
        <x:f>B23*C23</x:f>
        <x:v>400</x:v>
      </x:c>
      <x:c r="E23" s="198" t="n">
        <x:f>B23*'Action Credits'!D13</x:f>
        <x:v>2.5500000000000003</x:v>
      </x:c>
      <x:c r="F23" s="199" t="n">
        <x:f>IF($D$28=0,0,D23/$D$28)</x:f>
        <x:v>0.30511060259344014</x:v>
      </x:c>
      <x:c r="G23" s="155" t="str">
        <x:v>Premium acquisition action.</x:v>
      </x:c>
      <x:c r="H23" s="138"/>
      <x:c r="I23" s="138"/>
      <x:c r="J23" s="138"/>
      <x:c r="K23" s="138"/>
      <x:c r="L23" s="138"/>
      <x:c r="M23" s="138"/>
      <x:c r="N23" s="138"/>
      <x:c r="O23" s="138"/>
      <x:c r="P23" s="138"/>
      <x:c r="Q23" s="138"/>
      <x:c r="R23" s="138"/>
      <x:c r="S23" s="138"/>
      <x:c r="T23" s="138"/>
      <x:c r="U23" s="138"/>
      <x:c r="V23" s="138"/>
      <x:c r="W23" s="138"/>
      <x:c r="X23" s="138"/>
      <x:c r="Y23" s="138"/>
      <x:c r="Z23" s="138"/>
    </x:row>
    <x:row r="24">
      <x:c r="A24" s="152" t="str">
        <x:v>Email validation</x:v>
      </x:c>
      <x:c r="B24" s="154" t="n">
        <x:f>B10</x:f>
        <x:v>42</x:v>
      </x:c>
      <x:c r="C24" s="167" t="n">
        <x:v>0.5</x:v>
      </x:c>
      <x:c r="D24" s="167" t="n">
        <x:f>B24*C24</x:f>
        <x:v>21</x:v>
      </x:c>
      <x:c r="E24" s="198" t="n">
        <x:f>B24*'Action Credits'!D10</x:f>
        <x:v>0.21</x:v>
      </x:c>
      <x:c r="F24" s="199" t="n">
        <x:f>IF($D$28=0,0,D24/$D$28)</x:f>
        <x:v>0.016018306636155607</x:v>
      </x:c>
      <x:c r="G24" s="155" t="str">
        <x:v>Only if Apollo validation is insufficient.</x:v>
      </x:c>
      <x:c r="H24" s="138"/>
      <x:c r="I24" s="138"/>
      <x:c r="J24" s="138"/>
      <x:c r="K24" s="138"/>
      <x:c r="L24" s="138"/>
      <x:c r="M24" s="138"/>
      <x:c r="N24" s="138"/>
      <x:c r="O24" s="138"/>
      <x:c r="P24" s="138"/>
      <x:c r="Q24" s="138"/>
      <x:c r="R24" s="138"/>
      <x:c r="S24" s="138"/>
      <x:c r="T24" s="138"/>
      <x:c r="U24" s="138"/>
      <x:c r="V24" s="138"/>
      <x:c r="W24" s="138"/>
      <x:c r="X24" s="138"/>
      <x:c r="Y24" s="138"/>
      <x:c r="Z24" s="138"/>
    </x:row>
    <x:row r="25">
      <x:c r="A25" s="152" t="str">
        <x:v>Find new email</x:v>
      </x:c>
      <x:c r="B25" s="154" t="n">
        <x:f>B11</x:f>
        <x:v>10</x:v>
      </x:c>
      <x:c r="C25" s="167" t="n">
        <x:v>11</x:v>
      </x:c>
      <x:c r="D25" s="167" t="n">
        <x:f>B25*C25</x:f>
        <x:v>110</x:v>
      </x:c>
      <x:c r="E25" s="198" t="n">
        <x:f>B25*'Action Credits'!D11</x:f>
        <x:v>1.05</x:v>
      </x:c>
      <x:c r="F25" s="199" t="n">
        <x:f>IF($D$28=0,0,D25/$D$28)</x:f>
        <x:v>0.08390541571319603</x:v>
      </x:c>
      <x:c r="G25" s="155" t="str">
        <x:v>Charge only on success.</x:v>
      </x:c>
      <x:c r="H25" s="138"/>
      <x:c r="I25" s="138"/>
      <x:c r="J25" s="138"/>
      <x:c r="K25" s="138"/>
      <x:c r="L25" s="138"/>
      <x:c r="M25" s="138"/>
      <x:c r="N25" s="138"/>
      <x:c r="O25" s="138"/>
      <x:c r="P25" s="138"/>
      <x:c r="Q25" s="138"/>
      <x:c r="R25" s="138"/>
      <x:c r="S25" s="138"/>
      <x:c r="T25" s="138"/>
      <x:c r="U25" s="138"/>
      <x:c r="V25" s="138"/>
      <x:c r="W25" s="138"/>
      <x:c r="X25" s="138"/>
      <x:c r="Y25" s="138"/>
      <x:c r="Z25" s="138"/>
    </x:row>
    <x:row r="26">
      <x:c r="A26" s="152" t="str">
        <x:v>Phone reveal</x:v>
      </x:c>
      <x:c r="B26" s="154" t="n">
        <x:f>B12</x:f>
        <x:v>25</x:v>
      </x:c>
      <x:c r="C26" s="167" t="n">
        <x:v>20</x:v>
      </x:c>
      <x:c r="D26" s="167" t="n">
        <x:f>B26*C26</x:f>
        <x:v>500</x:v>
      </x:c>
      <x:c r="E26" s="198" t="n">
        <x:f>B26*'Action Credits'!D12</x:f>
        <x:v>5</x:v>
      </x:c>
      <x:c r="F26" s="199" t="n">
        <x:f>IF($D$28=0,0,D26/$D$28)</x:f>
        <x:v>0.38138825324180015</x:v>
      </x:c>
      <x:c r="G26" s="155" t="str">
        <x:v>Most expensive optional action.</x:v>
      </x:c>
      <x:c r="H26" s="138"/>
      <x:c r="I26" s="138"/>
      <x:c r="J26" s="138"/>
      <x:c r="K26" s="138"/>
      <x:c r="L26" s="138"/>
      <x:c r="M26" s="138"/>
      <x:c r="N26" s="138"/>
      <x:c r="O26" s="138"/>
      <x:c r="P26" s="138"/>
      <x:c r="Q26" s="138"/>
      <x:c r="R26" s="138"/>
      <x:c r="S26" s="138"/>
      <x:c r="T26" s="138"/>
      <x:c r="U26" s="138"/>
      <x:c r="V26" s="138"/>
      <x:c r="W26" s="138"/>
      <x:c r="X26" s="138"/>
      <x:c r="Y26" s="138"/>
      <x:c r="Z26" s="138"/>
    </x:row>
    <x:row r="27">
      <x:c r="A27" s="152" t="str">
        <x:v>Outreach sequence</x:v>
      </x:c>
      <x:c r="B27" s="154" t="n">
        <x:f>B13</x:f>
        <x:v>20</x:v>
      </x:c>
      <x:c r="C27" s="167" t="n">
        <x:v>5</x:v>
      </x:c>
      <x:c r="D27" s="167" t="n">
        <x:f>B27*C27</x:f>
        <x:v>100</x:v>
      </x:c>
      <x:c r="E27" s="198" t="n">
        <x:f>B27*'Action Credits'!D15</x:f>
        <x:v>1.26</x:v>
      </x:c>
      <x:c r="F27" s="199" t="n">
        <x:f>IF($D$28=0,0,D27/$D$28)</x:f>
        <x:v>0.07627765064836003</x:v>
      </x:c>
      <x:c r="G27" s="155" t="str">
        <x:v>Agent chat itself remains fair-use.</x:v>
      </x:c>
      <x:c r="H27" s="138"/>
      <x:c r="I27" s="138"/>
      <x:c r="J27" s="138"/>
      <x:c r="K27" s="138"/>
      <x:c r="L27" s="138"/>
      <x:c r="M27" s="138"/>
      <x:c r="N27" s="138"/>
      <x:c r="O27" s="138"/>
      <x:c r="P27" s="138"/>
      <x:c r="Q27" s="138"/>
      <x:c r="R27" s="138"/>
      <x:c r="S27" s="138"/>
      <x:c r="T27" s="138"/>
      <x:c r="U27" s="138"/>
      <x:c r="V27" s="138"/>
      <x:c r="W27" s="138"/>
      <x:c r="X27" s="138"/>
      <x:c r="Y27" s="138"/>
      <x:c r="Z27" s="138"/>
    </x:row>
    <x:row r="28">
      <x:c r="A28" s="200" t="str">
        <x:v>Total</x:v>
      </x:c>
      <x:c r="B28" s="201" t="n">
        <x:f>SUM(B21:B27)</x:f>
        <x:v>437</x:v>
      </x:c>
      <x:c r="C28" s="173"/>
      <x:c r="D28" s="173" t="n">
        <x:f>SUM(D21:D27)</x:f>
        <x:v>1311</x:v>
      </x:c>
      <x:c r="E28" s="202" t="n">
        <x:f>SUM(E21:E27)</x:f>
        <x:v>11.51</x:v>
      </x:c>
      <x:c r="F28" s="201"/>
      <x:c r="G28" s="203"/>
      <x:c r="H28" s="138"/>
      <x:c r="I28" s="138"/>
      <x:c r="J28" s="138"/>
      <x:c r="K28" s="138"/>
      <x:c r="L28" s="138"/>
      <x:c r="M28" s="138"/>
      <x:c r="N28" s="138"/>
      <x:c r="O28" s="138"/>
      <x:c r="P28" s="138"/>
      <x:c r="Q28" s="138"/>
      <x:c r="R28" s="138"/>
      <x:c r="S28" s="138"/>
      <x:c r="T28" s="138"/>
      <x:c r="U28" s="138"/>
      <x:c r="V28" s="138"/>
      <x:c r="W28" s="138"/>
      <x:c r="X28" s="138"/>
      <x:c r="Y28" s="138"/>
      <x:c r="Z28" s="138"/>
    </x:row>
    <x:row r="29">
      <x:c r="A29" s="138"/>
      <x:c r="B29" s="138"/>
      <x:c r="C29" s="138"/>
      <x:c r="D29" s="138"/>
      <x:c r="E29" s="138"/>
      <x:c r="F29" s="138"/>
      <x:c r="G29" s="138"/>
      <x:c r="H29" s="138"/>
      <x:c r="I29" s="138"/>
      <x:c r="J29" s="138"/>
      <x:c r="K29" s="138"/>
      <x:c r="L29" s="138"/>
      <x:c r="M29" s="138"/>
      <x:c r="N29" s="138"/>
      <x:c r="O29" s="138"/>
      <x:c r="P29" s="138"/>
      <x:c r="Q29" s="138"/>
      <x:c r="R29" s="138"/>
      <x:c r="S29" s="138"/>
      <x:c r="T29" s="138"/>
      <x:c r="U29" s="138"/>
      <x:c r="V29" s="138"/>
      <x:c r="W29" s="138"/>
      <x:c r="X29" s="138"/>
      <x:c r="Y29" s="138"/>
      <x:c r="Z29" s="138"/>
    </x:row>
    <x:row r="30">
      <x:c r="A30" s="138"/>
      <x:c r="B30" s="138"/>
      <x:c r="C30" s="138"/>
      <x:c r="D30" s="138"/>
      <x:c r="E30" s="138"/>
      <x:c r="F30" s="138"/>
      <x:c r="G30" s="138"/>
      <x:c r="H30" s="138"/>
      <x:c r="I30" s="138"/>
      <x:c r="J30" s="138"/>
      <x:c r="K30" s="138"/>
      <x:c r="L30" s="138"/>
      <x:c r="M30" s="138"/>
      <x:c r="N30" s="138"/>
      <x:c r="O30" s="138"/>
      <x:c r="P30" s="138"/>
      <x:c r="Q30" s="138"/>
      <x:c r="R30" s="138"/>
      <x:c r="S30" s="138"/>
      <x:c r="T30" s="138"/>
      <x:c r="U30" s="138"/>
      <x:c r="V30" s="138"/>
      <x:c r="W30" s="138"/>
      <x:c r="X30" s="138"/>
      <x:c r="Y30" s="138"/>
      <x:c r="Z30" s="138"/>
    </x:row>
    <x:row r="31" ht="22" customHeight="1">
      <x:c r="A31" s="140" t="str">
        <x:v>Plan fit for this scenario</x:v>
      </x:c>
      <x:c r="B31" s="138"/>
      <x:c r="C31" s="138"/>
      <x:c r="D31" s="138"/>
      <x:c r="E31" s="138"/>
      <x:c r="F31" s="138"/>
      <x:c r="G31" s="138"/>
      <x:c r="H31" s="138"/>
      <x:c r="I31" s="138"/>
      <x:c r="J31" s="138"/>
      <x:c r="K31" s="138"/>
      <x:c r="L31" s="138"/>
      <x:c r="M31" s="138"/>
      <x:c r="N31" s="138"/>
      <x:c r="O31" s="138"/>
      <x:c r="P31" s="138"/>
      <x:c r="Q31" s="138"/>
      <x:c r="R31" s="138"/>
      <x:c r="S31" s="138"/>
      <x:c r="T31" s="138"/>
      <x:c r="U31" s="138"/>
      <x:c r="V31" s="138"/>
      <x:c r="W31" s="138"/>
      <x:c r="X31" s="138"/>
      <x:c r="Y31" s="138"/>
      <x:c r="Z31" s="138"/>
    </x:row>
    <x:row r="32">
      <x:c r="A32" s="141" t="str">
        <x:v>Plan</x:v>
      </x:c>
      <x:c r="B32" s="142" t="str">
        <x:v>Included credits</x:v>
      </x:c>
      <x:c r="C32" s="142" t="str">
        <x:v>Scenario credits</x:v>
      </x:c>
      <x:c r="D32" s="142" t="str">
        <x:v>Overage credits</x:v>
      </x:c>
      <x:c r="E32" s="142" t="str">
        <x:v>Overage cost $</x:v>
      </x:c>
      <x:c r="F32" s="142" t="str">
        <x:v>Total monthly bill $</x:v>
      </x:c>
      <x:c r="G32" s="143" t="str">
        <x:v>Fit</x:v>
      </x:c>
      <x:c r="H32" s="138"/>
      <x:c r="I32" s="138"/>
      <x:c r="J32" s="138"/>
      <x:c r="K32" s="138"/>
      <x:c r="L32" s="138"/>
      <x:c r="M32" s="138"/>
      <x:c r="N32" s="138"/>
      <x:c r="O32" s="138"/>
      <x:c r="P32" s="138"/>
      <x:c r="Q32" s="138"/>
      <x:c r="R32" s="138"/>
      <x:c r="S32" s="138"/>
      <x:c r="T32" s="138"/>
      <x:c r="U32" s="138"/>
      <x:c r="V32" s="138"/>
      <x:c r="W32" s="138"/>
      <x:c r="X32" s="138"/>
      <x:c r="Y32" s="138"/>
      <x:c r="Z32" s="138"/>
    </x:row>
    <x:row r="33">
      <x:c r="A33" s="144" t="str">
        <x:v>Free</x:v>
      </x:c>
      <x:c r="B33" s="151" t="n">
        <x:v>100</x:v>
      </x:c>
      <x:c r="C33" s="151" t="n">
        <x:f>$D$28</x:f>
        <x:v>1311</x:v>
      </x:c>
      <x:c r="D33" s="151" t="n">
        <x:f>MAX(0,C33-B33)</x:f>
        <x:v>1211</x:v>
      </x:c>
      <x:c r="E33" s="177" t="str">
        <x:f>IF(D33&gt;0,"n/a",0)</x:f>
        <x:v>n/a</x:v>
      </x:c>
      <x:c r="F33" s="177" t="n">
        <x:f>0</x:f>
        <x:v>0</x:v>
      </x:c>
      <x:c r="G33" s="146" t="str">
        <x:f>IF(C33&lt;=B33,"Fits","Upgrade")</x:f>
        <x:v>Upgrade</x:v>
      </x:c>
      <x:c r="H33" s="138"/>
      <x:c r="I33" s="138"/>
      <x:c r="J33" s="138"/>
      <x:c r="K33" s="138"/>
      <x:c r="L33" s="138"/>
      <x:c r="M33" s="138"/>
      <x:c r="N33" s="138"/>
      <x:c r="O33" s="138"/>
      <x:c r="P33" s="138"/>
      <x:c r="Q33" s="138"/>
      <x:c r="R33" s="138"/>
      <x:c r="S33" s="138"/>
      <x:c r="T33" s="138"/>
      <x:c r="U33" s="138"/>
      <x:c r="V33" s="138"/>
      <x:c r="W33" s="138"/>
      <x:c r="X33" s="138"/>
      <x:c r="Y33" s="138"/>
      <x:c r="Z33" s="138"/>
    </x:row>
    <x:row r="34">
      <x:c r="A34" s="152" t="str">
        <x:v>Starter</x:v>
      </x:c>
      <x:c r="B34" s="154" t="n">
        <x:v>2000</x:v>
      </x:c>
      <x:c r="C34" s="154" t="n">
        <x:f>$D$28</x:f>
        <x:v>1311</x:v>
      </x:c>
      <x:c r="D34" s="154" t="n">
        <x:f>MAX(0,C34-B34)</x:f>
        <x:v>0</x:v>
      </x:c>
      <x:c r="E34" s="182" t="n">
        <x:f>D34/1000*100</x:f>
        <x:v>0</x:v>
      </x:c>
      <x:c r="F34" s="182" t="n">
        <x:f>149+E34</x:f>
        <x:v>149</x:v>
      </x:c>
      <x:c r="G34" s="155" t="str">
        <x:f>IF(AND(C34&lt;=B34,B14&lt;=5000),"Fits","Top-up / upgrade")</x:f>
        <x:v>Fits</x:v>
      </x:c>
      <x:c r="H34" s="138"/>
      <x:c r="I34" s="138"/>
      <x:c r="J34" s="138"/>
      <x:c r="K34" s="138"/>
      <x:c r="L34" s="138"/>
      <x:c r="M34" s="138"/>
      <x:c r="N34" s="138"/>
      <x:c r="O34" s="138"/>
      <x:c r="P34" s="138"/>
      <x:c r="Q34" s="138"/>
      <x:c r="R34" s="138"/>
      <x:c r="S34" s="138"/>
      <x:c r="T34" s="138"/>
      <x:c r="U34" s="138"/>
      <x:c r="V34" s="138"/>
      <x:c r="W34" s="138"/>
      <x:c r="X34" s="138"/>
      <x:c r="Y34" s="138"/>
      <x:c r="Z34" s="138"/>
    </x:row>
    <x:row r="35">
      <x:c r="A35" s="147" t="str">
        <x:v>Growth</x:v>
      </x:c>
      <x:c r="B35" s="159" t="n">
        <x:v>8000</x:v>
      </x:c>
      <x:c r="C35" s="159" t="n">
        <x:f>$D$28</x:f>
        <x:v>1311</x:v>
      </x:c>
      <x:c r="D35" s="159" t="n">
        <x:f>MAX(0,C35-B35)</x:f>
        <x:v>0</x:v>
      </x:c>
      <x:c r="E35" s="187" t="n">
        <x:f>D35/1000*70</x:f>
        <x:v>0</x:v>
      </x:c>
      <x:c r="F35" s="187" t="n">
        <x:f>799+E35</x:f>
        <x:v>799</x:v>
      </x:c>
      <x:c r="G35" s="149" t="str">
        <x:f>IF(AND(C35&lt;=B35,B14&lt;=10000),"Fits","Top-up / upgrade")</x:f>
        <x:v>Fits</x:v>
      </x:c>
      <x:c r="H35" s="138"/>
      <x:c r="I35" s="138"/>
      <x:c r="J35" s="138"/>
      <x:c r="K35" s="138"/>
      <x:c r="L35" s="138"/>
      <x:c r="M35" s="138"/>
      <x:c r="N35" s="138"/>
      <x:c r="O35" s="138"/>
      <x:c r="P35" s="138"/>
      <x:c r="Q35" s="138"/>
      <x:c r="R35" s="138"/>
      <x:c r="S35" s="138"/>
      <x:c r="T35" s="138"/>
      <x:c r="U35" s="138"/>
      <x:c r="V35" s="138"/>
      <x:c r="W35" s="138"/>
      <x:c r="X35" s="138"/>
      <x:c r="Y35" s="138"/>
      <x:c r="Z35" s="138"/>
    </x:row>
    <x:row r="36">
      <x:c r="A36" s="138"/>
      <x:c r="B36" s="138"/>
      <x:c r="C36" s="138"/>
      <x:c r="D36" s="138"/>
      <x:c r="E36" s="138"/>
      <x:c r="F36" s="138"/>
      <x:c r="G36" s="138"/>
      <x:c r="H36" s="138"/>
      <x:c r="I36" s="138"/>
      <x:c r="J36" s="138"/>
      <x:c r="K36" s="138"/>
      <x:c r="L36" s="138"/>
      <x:c r="M36" s="138"/>
      <x:c r="N36" s="138"/>
      <x:c r="O36" s="138"/>
      <x:c r="P36" s="138"/>
      <x:c r="Q36" s="138"/>
      <x:c r="R36" s="138"/>
      <x:c r="S36" s="138"/>
      <x:c r="T36" s="138"/>
      <x:c r="U36" s="138"/>
      <x:c r="V36" s="138"/>
      <x:c r="W36" s="138"/>
      <x:c r="X36" s="138"/>
      <x:c r="Y36" s="138"/>
      <x:c r="Z36" s="138"/>
    </x:row>
    <x:row r="37">
      <x:c r="A37" s="138"/>
      <x:c r="B37" s="138"/>
      <x:c r="C37" s="138"/>
      <x:c r="D37" s="138"/>
      <x:c r="E37" s="138"/>
      <x:c r="F37" s="138"/>
      <x:c r="G37" s="138"/>
      <x:c r="H37" s="138"/>
      <x:c r="I37" s="138"/>
      <x:c r="J37" s="138"/>
      <x:c r="K37" s="138"/>
      <x:c r="L37" s="138"/>
      <x:c r="M37" s="138"/>
      <x:c r="N37" s="138"/>
      <x:c r="O37" s="138"/>
      <x:c r="P37" s="138"/>
      <x:c r="Q37" s="138"/>
      <x:c r="R37" s="138"/>
      <x:c r="S37" s="138"/>
      <x:c r="T37" s="138"/>
      <x:c r="U37" s="138"/>
      <x:c r="V37" s="138"/>
      <x:c r="W37" s="138"/>
      <x:c r="X37" s="138"/>
      <x:c r="Y37" s="138"/>
      <x:c r="Z37" s="138"/>
    </x:row>
    <x:row r="38">
      <x:c r="A38" s="138"/>
      <x:c r="B38" s="138"/>
      <x:c r="C38" s="138"/>
      <x:c r="D38" s="138"/>
      <x:c r="E38" s="138"/>
      <x:c r="F38" s="138"/>
      <x:c r="G38" s="138"/>
      <x:c r="H38" s="138"/>
      <x:c r="I38" s="138"/>
      <x:c r="J38" s="138"/>
      <x:c r="K38" s="138"/>
      <x:c r="L38" s="138"/>
      <x:c r="M38" s="138"/>
      <x:c r="N38" s="138"/>
      <x:c r="O38" s="138"/>
      <x:c r="P38" s="138"/>
      <x:c r="Q38" s="138"/>
      <x:c r="R38" s="138"/>
      <x:c r="S38" s="138"/>
      <x:c r="T38" s="138"/>
      <x:c r="U38" s="138"/>
      <x:c r="V38" s="138"/>
      <x:c r="W38" s="138"/>
      <x:c r="X38" s="138"/>
      <x:c r="Y38" s="138"/>
      <x:c r="Z38" s="138"/>
    </x:row>
    <x:row r="39">
      <x:c r="A39" s="138"/>
      <x:c r="B39" s="138"/>
      <x:c r="C39" s="138"/>
      <x:c r="D39" s="138"/>
      <x:c r="E39" s="138"/>
      <x:c r="F39" s="138"/>
      <x:c r="G39" s="138"/>
      <x:c r="H39" s="138"/>
      <x:c r="I39" s="138"/>
      <x:c r="J39" s="138"/>
      <x:c r="K39" s="138"/>
      <x:c r="L39" s="138"/>
      <x:c r="M39" s="138"/>
      <x:c r="N39" s="138"/>
      <x:c r="O39" s="138"/>
      <x:c r="P39" s="138"/>
      <x:c r="Q39" s="138"/>
      <x:c r="R39" s="138"/>
      <x:c r="S39" s="138"/>
      <x:c r="T39" s="138"/>
      <x:c r="U39" s="138"/>
      <x:c r="V39" s="138"/>
      <x:c r="W39" s="138"/>
      <x:c r="X39" s="138"/>
      <x:c r="Y39" s="138"/>
      <x:c r="Z39" s="138"/>
    </x:row>
    <x:row r="40">
      <x:c r="A40" s="138"/>
      <x:c r="B40" s="138"/>
      <x:c r="C40" s="138"/>
      <x:c r="D40" s="138"/>
      <x:c r="E40" s="138"/>
      <x:c r="F40" s="138"/>
      <x:c r="G40" s="138"/>
      <x:c r="H40" s="138"/>
      <x:c r="I40" s="138"/>
      <x:c r="J40" s="138"/>
      <x:c r="K40" s="138"/>
      <x:c r="L40" s="138"/>
      <x:c r="M40" s="138"/>
      <x:c r="N40" s="138"/>
      <x:c r="O40" s="138"/>
      <x:c r="P40" s="138"/>
      <x:c r="Q40" s="138"/>
      <x:c r="R40" s="138"/>
      <x:c r="S40" s="138"/>
      <x:c r="T40" s="138"/>
      <x:c r="U40" s="138"/>
      <x:c r="V40" s="138"/>
      <x:c r="W40" s="138"/>
      <x:c r="X40" s="138"/>
      <x:c r="Y40" s="138"/>
      <x:c r="Z40" s="138"/>
    </x:row>
    <x:row r="41">
      <x:c r="A41" s="138"/>
      <x:c r="B41" s="138"/>
      <x:c r="C41" s="138"/>
      <x:c r="D41" s="138"/>
      <x:c r="E41" s="138"/>
      <x:c r="F41" s="138"/>
      <x:c r="G41" s="138"/>
      <x:c r="H41" s="138"/>
      <x:c r="I41" s="138"/>
      <x:c r="J41" s="138"/>
      <x:c r="K41" s="138"/>
      <x:c r="L41" s="138"/>
      <x:c r="M41" s="138"/>
      <x:c r="N41" s="138"/>
      <x:c r="O41" s="138"/>
      <x:c r="P41" s="138"/>
      <x:c r="Q41" s="138"/>
      <x:c r="R41" s="138"/>
      <x:c r="S41" s="138"/>
      <x:c r="T41" s="138"/>
      <x:c r="U41" s="138"/>
      <x:c r="V41" s="138"/>
      <x:c r="W41" s="138"/>
      <x:c r="X41" s="138"/>
      <x:c r="Y41" s="138"/>
      <x:c r="Z41" s="138"/>
    </x:row>
    <x:row r="42">
      <x:c r="A42" s="138"/>
      <x:c r="B42" s="138"/>
      <x:c r="C42" s="138"/>
      <x:c r="D42" s="138"/>
      <x:c r="E42" s="138"/>
      <x:c r="F42" s="138"/>
      <x:c r="G42" s="138"/>
      <x:c r="H42" s="138"/>
      <x:c r="I42" s="138"/>
      <x:c r="J42" s="138"/>
      <x:c r="K42" s="138"/>
      <x:c r="L42" s="138"/>
      <x:c r="M42" s="138"/>
      <x:c r="N42" s="138"/>
      <x:c r="O42" s="138"/>
      <x:c r="P42" s="138"/>
      <x:c r="Q42" s="138"/>
      <x:c r="R42" s="138"/>
      <x:c r="S42" s="138"/>
      <x:c r="T42" s="138"/>
      <x:c r="U42" s="138"/>
      <x:c r="V42" s="138"/>
      <x:c r="W42" s="138"/>
      <x:c r="X42" s="138"/>
      <x:c r="Y42" s="138"/>
      <x:c r="Z42" s="138"/>
    </x:row>
    <x:row r="43">
      <x:c r="A43" s="138"/>
      <x:c r="B43" s="138"/>
      <x:c r="C43" s="138"/>
      <x:c r="D43" s="138"/>
      <x:c r="E43" s="138"/>
      <x:c r="F43" s="138"/>
      <x:c r="G43" s="138"/>
      <x:c r="H43" s="138"/>
      <x:c r="I43" s="138"/>
      <x:c r="J43" s="138"/>
      <x:c r="K43" s="138"/>
      <x:c r="L43" s="138"/>
      <x:c r="M43" s="138"/>
      <x:c r="N43" s="138"/>
      <x:c r="O43" s="138"/>
      <x:c r="P43" s="138"/>
      <x:c r="Q43" s="138"/>
      <x:c r="R43" s="138"/>
      <x:c r="S43" s="138"/>
      <x:c r="T43" s="138"/>
      <x:c r="U43" s="138"/>
      <x:c r="V43" s="138"/>
      <x:c r="W43" s="138"/>
      <x:c r="X43" s="138"/>
      <x:c r="Y43" s="138"/>
      <x:c r="Z43" s="138"/>
    </x:row>
    <x:row r="44">
      <x:c r="A44" s="138"/>
      <x:c r="B44" s="138"/>
      <x:c r="C44" s="138"/>
      <x:c r="D44" s="138"/>
      <x:c r="E44" s="138"/>
      <x:c r="F44" s="138"/>
      <x:c r="G44" s="138"/>
      <x:c r="H44" s="138"/>
      <x:c r="I44" s="138"/>
      <x:c r="J44" s="138"/>
      <x:c r="K44" s="138"/>
      <x:c r="L44" s="138"/>
      <x:c r="M44" s="138"/>
      <x:c r="N44" s="138"/>
      <x:c r="O44" s="138"/>
      <x:c r="P44" s="138"/>
      <x:c r="Q44" s="138"/>
      <x:c r="R44" s="138"/>
      <x:c r="S44" s="138"/>
      <x:c r="T44" s="138"/>
      <x:c r="U44" s="138"/>
      <x:c r="V44" s="138"/>
      <x:c r="W44" s="138"/>
      <x:c r="X44" s="138"/>
      <x:c r="Y44" s="138"/>
      <x:c r="Z44" s="138"/>
    </x:row>
    <x:row r="45">
      <x:c r="A45" s="138"/>
      <x:c r="B45" s="138"/>
      <x:c r="C45" s="138"/>
      <x:c r="D45" s="138"/>
      <x:c r="E45" s="138"/>
      <x:c r="F45" s="138"/>
      <x:c r="G45" s="138"/>
      <x:c r="H45" s="138"/>
      <x:c r="I45" s="138"/>
      <x:c r="J45" s="138"/>
      <x:c r="K45" s="138"/>
      <x:c r="L45" s="138"/>
      <x:c r="M45" s="138"/>
      <x:c r="N45" s="138"/>
      <x:c r="O45" s="138"/>
      <x:c r="P45" s="138"/>
      <x:c r="Q45" s="138"/>
      <x:c r="R45" s="138"/>
      <x:c r="S45" s="138"/>
      <x:c r="T45" s="138"/>
      <x:c r="U45" s="138"/>
      <x:c r="V45" s="138"/>
      <x:c r="W45" s="138"/>
      <x:c r="X45" s="138"/>
      <x:c r="Y45" s="138"/>
      <x:c r="Z45" s="138"/>
    </x:row>
    <x:row r="46">
      <x:c r="A46" s="138"/>
      <x:c r="B46" s="138"/>
      <x:c r="C46" s="138"/>
      <x:c r="D46" s="138"/>
      <x:c r="E46" s="138"/>
      <x:c r="F46" s="138"/>
      <x:c r="G46" s="138"/>
      <x:c r="H46" s="138"/>
      <x:c r="I46" s="138"/>
      <x:c r="J46" s="138"/>
      <x:c r="K46" s="138"/>
      <x:c r="L46" s="138"/>
      <x:c r="M46" s="138"/>
      <x:c r="N46" s="138"/>
      <x:c r="O46" s="138"/>
      <x:c r="P46" s="138"/>
      <x:c r="Q46" s="138"/>
      <x:c r="R46" s="138"/>
      <x:c r="S46" s="138"/>
      <x:c r="T46" s="138"/>
      <x:c r="U46" s="138"/>
      <x:c r="V46" s="138"/>
      <x:c r="W46" s="138"/>
      <x:c r="X46" s="138"/>
      <x:c r="Y46" s="138"/>
      <x:c r="Z46" s="138"/>
    </x:row>
    <x:row r="47">
      <x:c r="A47" s="138"/>
      <x:c r="B47" s="138"/>
      <x:c r="C47" s="138"/>
      <x:c r="D47" s="138"/>
      <x:c r="E47" s="138"/>
      <x:c r="F47" s="138"/>
      <x:c r="G47" s="138"/>
      <x:c r="H47" s="138"/>
      <x:c r="I47" s="138"/>
      <x:c r="J47" s="138"/>
      <x:c r="K47" s="138"/>
      <x:c r="L47" s="138"/>
      <x:c r="M47" s="138"/>
      <x:c r="N47" s="138"/>
      <x:c r="O47" s="138"/>
      <x:c r="P47" s="138"/>
      <x:c r="Q47" s="138"/>
      <x:c r="R47" s="138"/>
      <x:c r="S47" s="138"/>
      <x:c r="T47" s="138"/>
      <x:c r="U47" s="138"/>
      <x:c r="V47" s="138"/>
      <x:c r="W47" s="138"/>
      <x:c r="X47" s="138"/>
      <x:c r="Y47" s="138"/>
      <x:c r="Z47" s="138"/>
    </x:row>
    <x:row r="48">
      <x:c r="A48" s="138"/>
      <x:c r="B48" s="138"/>
      <x:c r="C48" s="138"/>
      <x:c r="D48" s="138"/>
      <x:c r="E48" s="138"/>
      <x:c r="F48" s="138"/>
      <x:c r="G48" s="138"/>
      <x:c r="H48" s="138"/>
      <x:c r="I48" s="138"/>
      <x:c r="J48" s="138"/>
      <x:c r="K48" s="138"/>
      <x:c r="L48" s="138"/>
      <x:c r="M48" s="138"/>
      <x:c r="N48" s="138"/>
      <x:c r="O48" s="138"/>
      <x:c r="P48" s="138"/>
      <x:c r="Q48" s="138"/>
      <x:c r="R48" s="138"/>
      <x:c r="S48" s="138"/>
      <x:c r="T48" s="138"/>
      <x:c r="U48" s="138"/>
      <x:c r="V48" s="138"/>
      <x:c r="W48" s="138"/>
      <x:c r="X48" s="138"/>
      <x:c r="Y48" s="138"/>
      <x:c r="Z48" s="138"/>
    </x:row>
    <x:row r="49">
      <x:c r="A49" s="138"/>
      <x:c r="B49" s="138"/>
      <x:c r="C49" s="138"/>
      <x:c r="D49" s="138"/>
      <x:c r="E49" s="138"/>
      <x:c r="F49" s="138"/>
      <x:c r="G49" s="138"/>
      <x:c r="H49" s="138"/>
      <x:c r="I49" s="138"/>
      <x:c r="J49" s="138"/>
      <x:c r="K49" s="138"/>
      <x:c r="L49" s="138"/>
      <x:c r="M49" s="138"/>
      <x:c r="N49" s="138"/>
      <x:c r="O49" s="138"/>
      <x:c r="P49" s="138"/>
      <x:c r="Q49" s="138"/>
      <x:c r="R49" s="138"/>
      <x:c r="S49" s="138"/>
      <x:c r="T49" s="138"/>
      <x:c r="U49" s="138"/>
      <x:c r="V49" s="138"/>
      <x:c r="W49" s="138"/>
      <x:c r="X49" s="138"/>
      <x:c r="Y49" s="138"/>
      <x:c r="Z49" s="138"/>
    </x:row>
    <x:row r="50">
      <x:c r="A50" s="138"/>
      <x:c r="B50" s="138"/>
      <x:c r="C50" s="138"/>
      <x:c r="D50" s="138"/>
      <x:c r="E50" s="138"/>
      <x:c r="F50" s="138"/>
      <x:c r="G50" s="138"/>
      <x:c r="H50" s="138"/>
      <x:c r="I50" s="138"/>
      <x:c r="J50" s="138"/>
      <x:c r="K50" s="138"/>
      <x:c r="L50" s="138"/>
      <x:c r="M50" s="138"/>
      <x:c r="N50" s="138"/>
      <x:c r="O50" s="138"/>
      <x:c r="P50" s="138"/>
      <x:c r="Q50" s="138"/>
      <x:c r="R50" s="138"/>
      <x:c r="S50" s="138"/>
      <x:c r="T50" s="138"/>
      <x:c r="U50" s="138"/>
      <x:c r="V50" s="138"/>
      <x:c r="W50" s="138"/>
      <x:c r="X50" s="138"/>
      <x:c r="Y50" s="138"/>
      <x:c r="Z50" s="138"/>
    </x:row>
    <x:row r="51">
      <x:c r="A51" s="138"/>
      <x:c r="B51" s="138"/>
      <x:c r="C51" s="138"/>
      <x:c r="D51" s="138"/>
      <x:c r="E51" s="138"/>
      <x:c r="F51" s="138"/>
      <x:c r="G51" s="138"/>
      <x:c r="H51" s="138"/>
      <x:c r="I51" s="138"/>
      <x:c r="J51" s="138"/>
      <x:c r="K51" s="138"/>
      <x:c r="L51" s="138"/>
      <x:c r="M51" s="138"/>
      <x:c r="N51" s="138"/>
      <x:c r="O51" s="138"/>
      <x:c r="P51" s="138"/>
      <x:c r="Q51" s="138"/>
      <x:c r="R51" s="138"/>
      <x:c r="S51" s="138"/>
      <x:c r="T51" s="138"/>
      <x:c r="U51" s="138"/>
      <x:c r="V51" s="138"/>
      <x:c r="W51" s="138"/>
      <x:c r="X51" s="138"/>
      <x:c r="Y51" s="138"/>
      <x:c r="Z51" s="138"/>
    </x:row>
    <x:row r="52">
      <x:c r="A52" s="138"/>
      <x:c r="B52" s="138"/>
      <x:c r="C52" s="138"/>
      <x:c r="D52" s="138"/>
      <x:c r="E52" s="138"/>
      <x:c r="F52" s="138"/>
      <x:c r="G52" s="138"/>
      <x:c r="H52" s="138"/>
      <x:c r="I52" s="138"/>
      <x:c r="J52" s="138"/>
      <x:c r="K52" s="138"/>
      <x:c r="L52" s="138"/>
      <x:c r="M52" s="138"/>
      <x:c r="N52" s="138"/>
      <x:c r="O52" s="138"/>
      <x:c r="P52" s="138"/>
      <x:c r="Q52" s="138"/>
      <x:c r="R52" s="138"/>
      <x:c r="S52" s="138"/>
      <x:c r="T52" s="138"/>
      <x:c r="U52" s="138"/>
      <x:c r="V52" s="138"/>
      <x:c r="W52" s="138"/>
      <x:c r="X52" s="138"/>
      <x:c r="Y52" s="138"/>
      <x:c r="Z52" s="138"/>
    </x:row>
    <x:row r="53">
      <x:c r="A53" s="138"/>
      <x:c r="B53" s="138"/>
      <x:c r="C53" s="138"/>
      <x:c r="D53" s="138"/>
      <x:c r="E53" s="138"/>
      <x:c r="F53" s="138"/>
      <x:c r="G53" s="138"/>
      <x:c r="H53" s="138"/>
      <x:c r="I53" s="138"/>
      <x:c r="J53" s="138"/>
      <x:c r="K53" s="138"/>
      <x:c r="L53" s="138"/>
      <x:c r="M53" s="138"/>
      <x:c r="N53" s="138"/>
      <x:c r="O53" s="138"/>
      <x:c r="P53" s="138"/>
      <x:c r="Q53" s="138"/>
      <x:c r="R53" s="138"/>
      <x:c r="S53" s="138"/>
      <x:c r="T53" s="138"/>
      <x:c r="U53" s="138"/>
      <x:c r="V53" s="138"/>
      <x:c r="W53" s="138"/>
      <x:c r="X53" s="138"/>
      <x:c r="Y53" s="138"/>
      <x:c r="Z53" s="138"/>
    </x:row>
    <x:row r="54">
      <x:c r="A54" s="138"/>
      <x:c r="B54" s="138"/>
      <x:c r="C54" s="138"/>
      <x:c r="D54" s="138"/>
      <x:c r="E54" s="138"/>
      <x:c r="F54" s="138"/>
      <x:c r="G54" s="138"/>
      <x:c r="H54" s="138"/>
      <x:c r="I54" s="138"/>
      <x:c r="J54" s="138"/>
      <x:c r="K54" s="138"/>
      <x:c r="L54" s="138"/>
      <x:c r="M54" s="138"/>
      <x:c r="N54" s="138"/>
      <x:c r="O54" s="138"/>
      <x:c r="P54" s="138"/>
      <x:c r="Q54" s="138"/>
      <x:c r="R54" s="138"/>
      <x:c r="S54" s="138"/>
      <x:c r="T54" s="138"/>
      <x:c r="U54" s="138"/>
      <x:c r="V54" s="138"/>
      <x:c r="W54" s="138"/>
      <x:c r="X54" s="138"/>
      <x:c r="Y54" s="138"/>
      <x:c r="Z54" s="138"/>
    </x:row>
    <x:row r="55">
      <x:c r="A55" s="138"/>
      <x:c r="B55" s="138"/>
      <x:c r="C55" s="138"/>
      <x:c r="D55" s="138"/>
      <x:c r="E55" s="138"/>
      <x:c r="F55" s="138"/>
      <x:c r="G55" s="138"/>
      <x:c r="H55" s="138"/>
      <x:c r="I55" s="138"/>
      <x:c r="J55" s="138"/>
      <x:c r="K55" s="138"/>
      <x:c r="L55" s="138"/>
      <x:c r="M55" s="138"/>
      <x:c r="N55" s="138"/>
      <x:c r="O55" s="138"/>
      <x:c r="P55" s="138"/>
      <x:c r="Q55" s="138"/>
      <x:c r="R55" s="138"/>
      <x:c r="S55" s="138"/>
      <x:c r="T55" s="138"/>
      <x:c r="U55" s="138"/>
      <x:c r="V55" s="138"/>
      <x:c r="W55" s="138"/>
      <x:c r="X55" s="138"/>
      <x:c r="Y55" s="138"/>
      <x:c r="Z55" s="138"/>
    </x:row>
    <x:row r="56">
      <x:c r="A56" s="138"/>
      <x:c r="B56" s="138"/>
      <x:c r="C56" s="138"/>
      <x:c r="D56" s="138"/>
      <x:c r="E56" s="138"/>
      <x:c r="F56" s="138"/>
      <x:c r="G56" s="138"/>
      <x:c r="H56" s="138"/>
      <x:c r="I56" s="138"/>
      <x:c r="J56" s="138"/>
      <x:c r="K56" s="138"/>
      <x:c r="L56" s="138"/>
      <x:c r="M56" s="138"/>
      <x:c r="N56" s="138"/>
      <x:c r="O56" s="138"/>
      <x:c r="P56" s="138"/>
      <x:c r="Q56" s="138"/>
      <x:c r="R56" s="138"/>
      <x:c r="S56" s="138"/>
      <x:c r="T56" s="138"/>
      <x:c r="U56" s="138"/>
      <x:c r="V56" s="138"/>
      <x:c r="W56" s="138"/>
      <x:c r="X56" s="138"/>
      <x:c r="Y56" s="138"/>
      <x:c r="Z56" s="138"/>
    </x:row>
    <x:row r="57">
      <x:c r="A57" s="138"/>
      <x:c r="B57" s="138"/>
      <x:c r="C57" s="138"/>
      <x:c r="D57" s="138"/>
      <x:c r="E57" s="138"/>
      <x:c r="F57" s="138"/>
      <x:c r="G57" s="138"/>
      <x:c r="H57" s="138"/>
      <x:c r="I57" s="138"/>
      <x:c r="J57" s="138"/>
      <x:c r="K57" s="138"/>
      <x:c r="L57" s="138"/>
      <x:c r="M57" s="138"/>
      <x:c r="N57" s="138"/>
      <x:c r="O57" s="138"/>
      <x:c r="P57" s="138"/>
      <x:c r="Q57" s="138"/>
      <x:c r="R57" s="138"/>
      <x:c r="S57" s="138"/>
      <x:c r="T57" s="138"/>
      <x:c r="U57" s="138"/>
      <x:c r="V57" s="138"/>
      <x:c r="W57" s="138"/>
      <x:c r="X57" s="138"/>
      <x:c r="Y57" s="138"/>
      <x:c r="Z57" s="138"/>
    </x:row>
    <x:row r="58">
      <x:c r="A58" s="138"/>
      <x:c r="B58" s="138"/>
      <x:c r="C58" s="138"/>
      <x:c r="D58" s="138"/>
      <x:c r="E58" s="138"/>
      <x:c r="F58" s="138"/>
      <x:c r="G58" s="138"/>
      <x:c r="H58" s="138"/>
      <x:c r="I58" s="138"/>
      <x:c r="J58" s="138"/>
      <x:c r="K58" s="138"/>
      <x:c r="L58" s="138"/>
      <x:c r="M58" s="138"/>
      <x:c r="N58" s="138"/>
      <x:c r="O58" s="138"/>
      <x:c r="P58" s="138"/>
      <x:c r="Q58" s="138"/>
      <x:c r="R58" s="138"/>
      <x:c r="S58" s="138"/>
      <x:c r="T58" s="138"/>
      <x:c r="U58" s="138"/>
      <x:c r="V58" s="138"/>
      <x:c r="W58" s="138"/>
      <x:c r="X58" s="138"/>
      <x:c r="Y58" s="138"/>
      <x:c r="Z58" s="138"/>
    </x:row>
    <x:row r="59">
      <x:c r="A59" s="138"/>
      <x:c r="B59" s="138"/>
      <x:c r="C59" s="138"/>
      <x:c r="D59" s="138"/>
      <x:c r="E59" s="138"/>
      <x:c r="F59" s="138"/>
      <x:c r="G59" s="138"/>
      <x:c r="H59" s="138"/>
      <x:c r="I59" s="138"/>
      <x:c r="J59" s="138"/>
      <x:c r="K59" s="138"/>
      <x:c r="L59" s="138"/>
      <x:c r="M59" s="138"/>
      <x:c r="N59" s="138"/>
      <x:c r="O59" s="138"/>
      <x:c r="P59" s="138"/>
      <x:c r="Q59" s="138"/>
      <x:c r="R59" s="138"/>
      <x:c r="S59" s="138"/>
      <x:c r="T59" s="138"/>
      <x:c r="U59" s="138"/>
      <x:c r="V59" s="138"/>
      <x:c r="W59" s="138"/>
      <x:c r="X59" s="138"/>
      <x:c r="Y59" s="138"/>
      <x:c r="Z59" s="138"/>
    </x:row>
    <x:row r="60">
      <x:c r="A60" s="138"/>
      <x:c r="B60" s="138"/>
      <x:c r="C60" s="138"/>
      <x:c r="D60" s="138"/>
      <x:c r="E60" s="138"/>
      <x:c r="F60" s="138"/>
      <x:c r="G60" s="138"/>
      <x:c r="H60" s="138"/>
      <x:c r="I60" s="138"/>
      <x:c r="J60" s="138"/>
      <x:c r="K60" s="138"/>
      <x:c r="L60" s="138"/>
      <x:c r="M60" s="138"/>
      <x:c r="N60" s="138"/>
      <x:c r="O60" s="138"/>
      <x:c r="P60" s="138"/>
      <x:c r="Q60" s="138"/>
      <x:c r="R60" s="138"/>
      <x:c r="S60" s="138"/>
      <x:c r="T60" s="138"/>
      <x:c r="U60" s="138"/>
      <x:c r="V60" s="138"/>
      <x:c r="W60" s="138"/>
      <x:c r="X60" s="138"/>
      <x:c r="Y60" s="138"/>
      <x:c r="Z60" s="138"/>
    </x:row>
    <x:row r="61">
      <x:c r="A61" s="138"/>
      <x:c r="B61" s="138"/>
      <x:c r="C61" s="138"/>
      <x:c r="D61" s="138"/>
      <x:c r="E61" s="138"/>
      <x:c r="F61" s="138"/>
      <x:c r="G61" s="138"/>
      <x:c r="H61" s="138"/>
      <x:c r="I61" s="138"/>
      <x:c r="J61" s="138"/>
      <x:c r="K61" s="138"/>
      <x:c r="L61" s="138"/>
      <x:c r="M61" s="138"/>
      <x:c r="N61" s="138"/>
      <x:c r="O61" s="138"/>
      <x:c r="P61" s="138"/>
      <x:c r="Q61" s="138"/>
      <x:c r="R61" s="138"/>
      <x:c r="S61" s="138"/>
      <x:c r="T61" s="138"/>
      <x:c r="U61" s="138"/>
      <x:c r="V61" s="138"/>
      <x:c r="W61" s="138"/>
      <x:c r="X61" s="138"/>
      <x:c r="Y61" s="138"/>
      <x:c r="Z61" s="138"/>
    </x:row>
    <x:row r="62">
      <x:c r="A62" s="138"/>
      <x:c r="B62" s="138"/>
      <x:c r="C62" s="138"/>
      <x:c r="D62" s="138"/>
      <x:c r="E62" s="138"/>
      <x:c r="F62" s="138"/>
      <x:c r="G62" s="138"/>
      <x:c r="H62" s="138"/>
      <x:c r="I62" s="138"/>
      <x:c r="J62" s="138"/>
      <x:c r="K62" s="138"/>
      <x:c r="L62" s="138"/>
      <x:c r="M62" s="138"/>
      <x:c r="N62" s="138"/>
      <x:c r="O62" s="138"/>
      <x:c r="P62" s="138"/>
      <x:c r="Q62" s="138"/>
      <x:c r="R62" s="138"/>
      <x:c r="S62" s="138"/>
      <x:c r="T62" s="138"/>
      <x:c r="U62" s="138"/>
      <x:c r="V62" s="138"/>
      <x:c r="W62" s="138"/>
      <x:c r="X62" s="138"/>
      <x:c r="Y62" s="138"/>
      <x:c r="Z62" s="138"/>
    </x:row>
    <x:row r="63">
      <x:c r="A63" s="138"/>
      <x:c r="B63" s="138"/>
      <x:c r="C63" s="138"/>
      <x:c r="D63" s="138"/>
      <x:c r="E63" s="138"/>
      <x:c r="F63" s="138"/>
      <x:c r="G63" s="138"/>
      <x:c r="H63" s="138"/>
      <x:c r="I63" s="138"/>
      <x:c r="J63" s="138"/>
      <x:c r="K63" s="138"/>
      <x:c r="L63" s="138"/>
      <x:c r="M63" s="138"/>
      <x:c r="N63" s="138"/>
      <x:c r="O63" s="138"/>
      <x:c r="P63" s="138"/>
      <x:c r="Q63" s="138"/>
      <x:c r="R63" s="138"/>
      <x:c r="S63" s="138"/>
      <x:c r="T63" s="138"/>
      <x:c r="U63" s="138"/>
      <x:c r="V63" s="138"/>
      <x:c r="W63" s="138"/>
      <x:c r="X63" s="138"/>
      <x:c r="Y63" s="138"/>
      <x:c r="Z63" s="138"/>
    </x:row>
    <x:row r="64">
      <x:c r="A64" s="138"/>
      <x:c r="B64" s="138"/>
      <x:c r="C64" s="138"/>
      <x:c r="D64" s="138"/>
      <x:c r="E64" s="138"/>
      <x:c r="F64" s="138"/>
      <x:c r="G64" s="138"/>
      <x:c r="H64" s="138"/>
      <x:c r="I64" s="138"/>
      <x:c r="J64" s="138"/>
      <x:c r="K64" s="138"/>
      <x:c r="L64" s="138"/>
      <x:c r="M64" s="138"/>
      <x:c r="N64" s="138"/>
      <x:c r="O64" s="138"/>
      <x:c r="P64" s="138"/>
      <x:c r="Q64" s="138"/>
      <x:c r="R64" s="138"/>
      <x:c r="S64" s="138"/>
      <x:c r="T64" s="138"/>
      <x:c r="U64" s="138"/>
      <x:c r="V64" s="138"/>
      <x:c r="W64" s="138"/>
      <x:c r="X64" s="138"/>
      <x:c r="Y64" s="138"/>
      <x:c r="Z64" s="138"/>
    </x:row>
    <x:row r="65">
      <x:c r="A65" s="138"/>
      <x:c r="B65" s="138"/>
      <x:c r="C65" s="138"/>
      <x:c r="D65" s="138"/>
      <x:c r="E65" s="138"/>
      <x:c r="F65" s="138"/>
      <x:c r="G65" s="138"/>
      <x:c r="H65" s="138"/>
      <x:c r="I65" s="138"/>
      <x:c r="J65" s="138"/>
      <x:c r="K65" s="138"/>
      <x:c r="L65" s="138"/>
      <x:c r="M65" s="138"/>
      <x:c r="N65" s="138"/>
      <x:c r="O65" s="138"/>
      <x:c r="P65" s="138"/>
      <x:c r="Q65" s="138"/>
      <x:c r="R65" s="138"/>
      <x:c r="S65" s="138"/>
      <x:c r="T65" s="138"/>
      <x:c r="U65" s="138"/>
      <x:c r="V65" s="138"/>
      <x:c r="W65" s="138"/>
      <x:c r="X65" s="138"/>
      <x:c r="Y65" s="138"/>
      <x:c r="Z65" s="138"/>
    </x:row>
    <x:row r="66">
      <x:c r="A66" s="138"/>
      <x:c r="B66" s="138"/>
      <x:c r="C66" s="138"/>
      <x:c r="D66" s="138"/>
      <x:c r="E66" s="138"/>
      <x:c r="F66" s="138"/>
      <x:c r="G66" s="138"/>
      <x:c r="H66" s="138"/>
      <x:c r="I66" s="138"/>
      <x:c r="J66" s="138"/>
      <x:c r="K66" s="138"/>
      <x:c r="L66" s="138"/>
      <x:c r="M66" s="138"/>
      <x:c r="N66" s="138"/>
      <x:c r="O66" s="138"/>
      <x:c r="P66" s="138"/>
      <x:c r="Q66" s="138"/>
      <x:c r="R66" s="138"/>
      <x:c r="S66" s="138"/>
      <x:c r="T66" s="138"/>
      <x:c r="U66" s="138"/>
      <x:c r="V66" s="138"/>
      <x:c r="W66" s="138"/>
      <x:c r="X66" s="138"/>
      <x:c r="Y66" s="138"/>
      <x:c r="Z66" s="138"/>
    </x:row>
    <x:row r="67">
      <x:c r="A67" s="138"/>
      <x:c r="B67" s="138"/>
      <x:c r="C67" s="138"/>
      <x:c r="D67" s="138"/>
      <x:c r="E67" s="138"/>
      <x:c r="F67" s="138"/>
      <x:c r="G67" s="138"/>
      <x:c r="H67" s="138"/>
      <x:c r="I67" s="138"/>
      <x:c r="J67" s="138"/>
      <x:c r="K67" s="138"/>
      <x:c r="L67" s="138"/>
      <x:c r="M67" s="138"/>
      <x:c r="N67" s="138"/>
      <x:c r="O67" s="138"/>
      <x:c r="P67" s="138"/>
      <x:c r="Q67" s="138"/>
      <x:c r="R67" s="138"/>
      <x:c r="S67" s="138"/>
      <x:c r="T67" s="138"/>
      <x:c r="U67" s="138"/>
      <x:c r="V67" s="138"/>
      <x:c r="W67" s="138"/>
      <x:c r="X67" s="138"/>
      <x:c r="Y67" s="138"/>
      <x:c r="Z67" s="138"/>
    </x:row>
    <x:row r="68">
      <x:c r="A68" s="138"/>
      <x:c r="B68" s="138"/>
      <x:c r="C68" s="138"/>
      <x:c r="D68" s="138"/>
      <x:c r="E68" s="138"/>
      <x:c r="F68" s="138"/>
      <x:c r="G68" s="138"/>
      <x:c r="H68" s="138"/>
      <x:c r="I68" s="138"/>
      <x:c r="J68" s="138"/>
      <x:c r="K68" s="138"/>
      <x:c r="L68" s="138"/>
      <x:c r="M68" s="138"/>
      <x:c r="N68" s="138"/>
      <x:c r="O68" s="138"/>
      <x:c r="P68" s="138"/>
      <x:c r="Q68" s="138"/>
      <x:c r="R68" s="138"/>
      <x:c r="S68" s="138"/>
      <x:c r="T68" s="138"/>
      <x:c r="U68" s="138"/>
      <x:c r="V68" s="138"/>
      <x:c r="W68" s="138"/>
      <x:c r="X68" s="138"/>
      <x:c r="Y68" s="138"/>
      <x:c r="Z68" s="138"/>
    </x:row>
    <x:row r="69">
      <x:c r="A69" s="138"/>
      <x:c r="B69" s="138"/>
      <x:c r="C69" s="138"/>
      <x:c r="D69" s="138"/>
      <x:c r="E69" s="138"/>
      <x:c r="F69" s="138"/>
      <x:c r="G69" s="138"/>
      <x:c r="H69" s="138"/>
      <x:c r="I69" s="138"/>
      <x:c r="J69" s="138"/>
      <x:c r="K69" s="138"/>
      <x:c r="L69" s="138"/>
      <x:c r="M69" s="138"/>
      <x:c r="N69" s="138"/>
      <x:c r="O69" s="138"/>
      <x:c r="P69" s="138"/>
      <x:c r="Q69" s="138"/>
      <x:c r="R69" s="138"/>
      <x:c r="S69" s="138"/>
      <x:c r="T69" s="138"/>
      <x:c r="U69" s="138"/>
      <x:c r="V69" s="138"/>
      <x:c r="W69" s="138"/>
      <x:c r="X69" s="138"/>
      <x:c r="Y69" s="138"/>
      <x:c r="Z69" s="138"/>
    </x:row>
    <x:row r="70">
      <x:c r="A70" s="138"/>
      <x:c r="B70" s="138"/>
      <x:c r="C70" s="138"/>
      <x:c r="D70" s="138"/>
      <x:c r="E70" s="138"/>
      <x:c r="F70" s="138"/>
      <x:c r="G70" s="138"/>
      <x:c r="H70" s="138"/>
      <x:c r="I70" s="138"/>
      <x:c r="J70" s="138"/>
      <x:c r="K70" s="138"/>
      <x:c r="L70" s="138"/>
      <x:c r="M70" s="138"/>
      <x:c r="N70" s="138"/>
      <x:c r="O70" s="138"/>
      <x:c r="P70" s="138"/>
      <x:c r="Q70" s="138"/>
      <x:c r="R70" s="138"/>
      <x:c r="S70" s="138"/>
      <x:c r="T70" s="138"/>
      <x:c r="U70" s="138"/>
      <x:c r="V70" s="138"/>
      <x:c r="W70" s="138"/>
      <x:c r="X70" s="138"/>
      <x:c r="Y70" s="138"/>
      <x:c r="Z70" s="138"/>
    </x:row>
    <x:row r="71">
      <x:c r="A71" s="138"/>
      <x:c r="B71" s="138"/>
      <x:c r="C71" s="138"/>
      <x:c r="D71" s="138"/>
      <x:c r="E71" s="138"/>
      <x:c r="F71" s="138"/>
      <x:c r="G71" s="138"/>
      <x:c r="H71" s="138"/>
      <x:c r="I71" s="138"/>
      <x:c r="J71" s="138"/>
      <x:c r="K71" s="138"/>
      <x:c r="L71" s="138"/>
      <x:c r="M71" s="138"/>
      <x:c r="N71" s="138"/>
      <x:c r="O71" s="138"/>
      <x:c r="P71" s="138"/>
      <x:c r="Q71" s="138"/>
      <x:c r="R71" s="138"/>
      <x:c r="S71" s="138"/>
      <x:c r="T71" s="138"/>
      <x:c r="U71" s="138"/>
      <x:c r="V71" s="138"/>
      <x:c r="W71" s="138"/>
      <x:c r="X71" s="138"/>
      <x:c r="Y71" s="138"/>
      <x:c r="Z71" s="138"/>
    </x:row>
    <x:row r="72">
      <x:c r="A72" s="138"/>
      <x:c r="B72" s="138"/>
      <x:c r="C72" s="138"/>
      <x:c r="D72" s="138"/>
      <x:c r="E72" s="138"/>
      <x:c r="F72" s="138"/>
      <x:c r="G72" s="138"/>
      <x:c r="H72" s="138"/>
      <x:c r="I72" s="138"/>
      <x:c r="J72" s="138"/>
      <x:c r="K72" s="138"/>
      <x:c r="L72" s="138"/>
      <x:c r="M72" s="138"/>
      <x:c r="N72" s="138"/>
      <x:c r="O72" s="138"/>
      <x:c r="P72" s="138"/>
      <x:c r="Q72" s="138"/>
      <x:c r="R72" s="138"/>
      <x:c r="S72" s="138"/>
      <x:c r="T72" s="138"/>
      <x:c r="U72" s="138"/>
      <x:c r="V72" s="138"/>
      <x:c r="W72" s="138"/>
      <x:c r="X72" s="138"/>
      <x:c r="Y72" s="138"/>
      <x:c r="Z72" s="138"/>
    </x:row>
    <x:row r="73">
      <x:c r="A73" s="138"/>
      <x:c r="B73" s="138"/>
      <x:c r="C73" s="138"/>
      <x:c r="D73" s="138"/>
      <x:c r="E73" s="138"/>
      <x:c r="F73" s="138"/>
      <x:c r="G73" s="138"/>
      <x:c r="H73" s="138"/>
      <x:c r="I73" s="138"/>
      <x:c r="J73" s="138"/>
      <x:c r="K73" s="138"/>
      <x:c r="L73" s="138"/>
      <x:c r="M73" s="138"/>
      <x:c r="N73" s="138"/>
      <x:c r="O73" s="138"/>
      <x:c r="P73" s="138"/>
      <x:c r="Q73" s="138"/>
      <x:c r="R73" s="138"/>
      <x:c r="S73" s="138"/>
      <x:c r="T73" s="138"/>
      <x:c r="U73" s="138"/>
      <x:c r="V73" s="138"/>
      <x:c r="W73" s="138"/>
      <x:c r="X73" s="138"/>
      <x:c r="Y73" s="138"/>
      <x:c r="Z73" s="138"/>
    </x:row>
    <x:row r="74">
      <x:c r="A74" s="138"/>
      <x:c r="B74" s="138"/>
      <x:c r="C74" s="138"/>
      <x:c r="D74" s="138"/>
      <x:c r="E74" s="138"/>
      <x:c r="F74" s="138"/>
      <x:c r="G74" s="138"/>
      <x:c r="H74" s="138"/>
      <x:c r="I74" s="138"/>
      <x:c r="J74" s="138"/>
      <x:c r="K74" s="138"/>
      <x:c r="L74" s="138"/>
      <x:c r="M74" s="138"/>
      <x:c r="N74" s="138"/>
      <x:c r="O74" s="138"/>
      <x:c r="P74" s="138"/>
      <x:c r="Q74" s="138"/>
      <x:c r="R74" s="138"/>
      <x:c r="S74" s="138"/>
      <x:c r="T74" s="138"/>
      <x:c r="U74" s="138"/>
      <x:c r="V74" s="138"/>
      <x:c r="W74" s="138"/>
      <x:c r="X74" s="138"/>
      <x:c r="Y74" s="138"/>
      <x:c r="Z74" s="138"/>
    </x:row>
    <x:row r="75">
      <x:c r="A75" s="138"/>
      <x:c r="B75" s="138"/>
      <x:c r="C75" s="138"/>
      <x:c r="D75" s="138"/>
      <x:c r="E75" s="138"/>
      <x:c r="F75" s="138"/>
      <x:c r="G75" s="138"/>
      <x:c r="H75" s="138"/>
      <x:c r="I75" s="138"/>
      <x:c r="J75" s="138"/>
      <x:c r="K75" s="138"/>
      <x:c r="L75" s="138"/>
      <x:c r="M75" s="138"/>
      <x:c r="N75" s="138"/>
      <x:c r="O75" s="138"/>
      <x:c r="P75" s="138"/>
      <x:c r="Q75" s="138"/>
      <x:c r="R75" s="138"/>
      <x:c r="S75" s="138"/>
      <x:c r="T75" s="138"/>
      <x:c r="U75" s="138"/>
      <x:c r="V75" s="138"/>
      <x:c r="W75" s="138"/>
      <x:c r="X75" s="138"/>
      <x:c r="Y75" s="138"/>
      <x:c r="Z75" s="138"/>
    </x:row>
    <x:row r="76">
      <x:c r="A76" s="138"/>
      <x:c r="B76" s="138"/>
      <x:c r="C76" s="138"/>
      <x:c r="D76" s="138"/>
      <x:c r="E76" s="138"/>
      <x:c r="F76" s="138"/>
      <x:c r="G76" s="138"/>
      <x:c r="H76" s="138"/>
      <x:c r="I76" s="138"/>
      <x:c r="J76" s="138"/>
      <x:c r="K76" s="138"/>
      <x:c r="L76" s="138"/>
      <x:c r="M76" s="138"/>
      <x:c r="N76" s="138"/>
      <x:c r="O76" s="138"/>
      <x:c r="P76" s="138"/>
      <x:c r="Q76" s="138"/>
      <x:c r="R76" s="138"/>
      <x:c r="S76" s="138"/>
      <x:c r="T76" s="138"/>
      <x:c r="U76" s="138"/>
      <x:c r="V76" s="138"/>
      <x:c r="W76" s="138"/>
      <x:c r="X76" s="138"/>
      <x:c r="Y76" s="138"/>
      <x:c r="Z76" s="138"/>
    </x:row>
    <x:row r="77">
      <x:c r="A77" s="138"/>
      <x:c r="B77" s="138"/>
      <x:c r="C77" s="138"/>
      <x:c r="D77" s="138"/>
      <x:c r="E77" s="138"/>
      <x:c r="F77" s="138"/>
      <x:c r="G77" s="138"/>
      <x:c r="H77" s="138"/>
      <x:c r="I77" s="138"/>
      <x:c r="J77" s="138"/>
      <x:c r="K77" s="138"/>
      <x:c r="L77" s="138"/>
      <x:c r="M77" s="138"/>
      <x:c r="N77" s="138"/>
      <x:c r="O77" s="138"/>
      <x:c r="P77" s="138"/>
      <x:c r="Q77" s="138"/>
      <x:c r="R77" s="138"/>
      <x:c r="S77" s="138"/>
      <x:c r="T77" s="138"/>
      <x:c r="U77" s="138"/>
      <x:c r="V77" s="138"/>
      <x:c r="W77" s="138"/>
      <x:c r="X77" s="138"/>
      <x:c r="Y77" s="138"/>
      <x:c r="Z77" s="138"/>
    </x:row>
    <x:row r="78">
      <x:c r="A78" s="138"/>
      <x:c r="B78" s="138"/>
      <x:c r="C78" s="138"/>
      <x:c r="D78" s="138"/>
      <x:c r="E78" s="138"/>
      <x:c r="F78" s="138"/>
      <x:c r="G78" s="138"/>
      <x:c r="H78" s="138"/>
      <x:c r="I78" s="138"/>
      <x:c r="J78" s="138"/>
      <x:c r="K78" s="138"/>
      <x:c r="L78" s="138"/>
      <x:c r="M78" s="138"/>
      <x:c r="N78" s="138"/>
      <x:c r="O78" s="138"/>
      <x:c r="P78" s="138"/>
      <x:c r="Q78" s="138"/>
      <x:c r="R78" s="138"/>
      <x:c r="S78" s="138"/>
      <x:c r="T78" s="138"/>
      <x:c r="U78" s="138"/>
      <x:c r="V78" s="138"/>
      <x:c r="W78" s="138"/>
      <x:c r="X78" s="138"/>
      <x:c r="Y78" s="138"/>
      <x:c r="Z78" s="138"/>
    </x:row>
    <x:row r="79">
      <x:c r="A79" s="138"/>
      <x:c r="B79" s="138"/>
      <x:c r="C79" s="138"/>
      <x:c r="D79" s="138"/>
      <x:c r="E79" s="138"/>
      <x:c r="F79" s="138"/>
      <x:c r="G79" s="138"/>
      <x:c r="H79" s="138"/>
      <x:c r="I79" s="138"/>
      <x:c r="J79" s="138"/>
      <x:c r="K79" s="138"/>
      <x:c r="L79" s="138"/>
      <x:c r="M79" s="138"/>
      <x:c r="N79" s="138"/>
      <x:c r="O79" s="138"/>
      <x:c r="P79" s="138"/>
      <x:c r="Q79" s="138"/>
      <x:c r="R79" s="138"/>
      <x:c r="S79" s="138"/>
      <x:c r="T79" s="138"/>
      <x:c r="U79" s="138"/>
      <x:c r="V79" s="138"/>
      <x:c r="W79" s="138"/>
      <x:c r="X79" s="138"/>
      <x:c r="Y79" s="138"/>
      <x:c r="Z79" s="138"/>
    </x:row>
    <x:row r="80">
      <x:c r="A80" s="138"/>
      <x:c r="B80" s="138"/>
      <x:c r="C80" s="138"/>
      <x:c r="D80" s="138"/>
      <x:c r="E80" s="138"/>
      <x:c r="F80" s="138"/>
      <x:c r="G80" s="138"/>
      <x:c r="H80" s="138"/>
      <x:c r="I80" s="138"/>
      <x:c r="J80" s="138"/>
      <x:c r="K80" s="138"/>
      <x:c r="L80" s="138"/>
      <x:c r="M80" s="138"/>
      <x:c r="N80" s="138"/>
      <x:c r="O80" s="138"/>
      <x:c r="P80" s="138"/>
      <x:c r="Q80" s="138"/>
      <x:c r="R80" s="138"/>
      <x:c r="S80" s="138"/>
      <x:c r="T80" s="138"/>
      <x:c r="U80" s="138"/>
      <x:c r="V80" s="138"/>
      <x:c r="W80" s="138"/>
      <x:c r="X80" s="138"/>
      <x:c r="Y80" s="138"/>
      <x:c r="Z80" s="138"/>
    </x:row>
    <x:row r="81">
      <x:c r="A81" s="138"/>
      <x:c r="B81" s="138"/>
      <x:c r="C81" s="138"/>
      <x:c r="D81" s="138"/>
      <x:c r="E81" s="138"/>
      <x:c r="F81" s="138"/>
      <x:c r="G81" s="138"/>
      <x:c r="H81" s="138"/>
      <x:c r="I81" s="138"/>
      <x:c r="J81" s="138"/>
      <x:c r="K81" s="138"/>
      <x:c r="L81" s="138"/>
      <x:c r="M81" s="138"/>
      <x:c r="N81" s="138"/>
      <x:c r="O81" s="138"/>
      <x:c r="P81" s="138"/>
      <x:c r="Q81" s="138"/>
      <x:c r="R81" s="138"/>
      <x:c r="S81" s="138"/>
      <x:c r="T81" s="138"/>
      <x:c r="U81" s="138"/>
      <x:c r="V81" s="138"/>
      <x:c r="W81" s="138"/>
      <x:c r="X81" s="138"/>
      <x:c r="Y81" s="138"/>
      <x:c r="Z81" s="138"/>
    </x:row>
    <x:row r="82">
      <x:c r="A82" s="138"/>
      <x:c r="B82" s="138"/>
      <x:c r="C82" s="138"/>
      <x:c r="D82" s="138"/>
      <x:c r="E82" s="138"/>
      <x:c r="F82" s="138"/>
      <x:c r="G82" s="138"/>
      <x:c r="H82" s="138"/>
      <x:c r="I82" s="138"/>
      <x:c r="J82" s="138"/>
      <x:c r="K82" s="138"/>
      <x:c r="L82" s="138"/>
      <x:c r="M82" s="138"/>
      <x:c r="N82" s="138"/>
      <x:c r="O82" s="138"/>
      <x:c r="P82" s="138"/>
      <x:c r="Q82" s="138"/>
      <x:c r="R82" s="138"/>
      <x:c r="S82" s="138"/>
      <x:c r="T82" s="138"/>
      <x:c r="U82" s="138"/>
      <x:c r="V82" s="138"/>
      <x:c r="W82" s="138"/>
      <x:c r="X82" s="138"/>
      <x:c r="Y82" s="138"/>
      <x:c r="Z82" s="138"/>
    </x:row>
    <x:row r="83">
      <x:c r="A83" s="138"/>
      <x:c r="B83" s="138"/>
      <x:c r="C83" s="138"/>
      <x:c r="D83" s="138"/>
      <x:c r="E83" s="138"/>
      <x:c r="F83" s="138"/>
      <x:c r="G83" s="138"/>
      <x:c r="H83" s="138"/>
      <x:c r="I83" s="138"/>
      <x:c r="J83" s="138"/>
      <x:c r="K83" s="138"/>
      <x:c r="L83" s="138"/>
      <x:c r="M83" s="138"/>
      <x:c r="N83" s="138"/>
      <x:c r="O83" s="138"/>
      <x:c r="P83" s="138"/>
      <x:c r="Q83" s="138"/>
      <x:c r="R83" s="138"/>
      <x:c r="S83" s="138"/>
      <x:c r="T83" s="138"/>
      <x:c r="U83" s="138"/>
      <x:c r="V83" s="138"/>
      <x:c r="W83" s="138"/>
      <x:c r="X83" s="138"/>
      <x:c r="Y83" s="138"/>
      <x:c r="Z83" s="138"/>
    </x:row>
    <x:row r="84">
      <x:c r="A84" s="138"/>
      <x:c r="B84" s="138"/>
      <x:c r="C84" s="138"/>
      <x:c r="D84" s="138"/>
      <x:c r="E84" s="138"/>
      <x:c r="F84" s="138"/>
      <x:c r="G84" s="138"/>
      <x:c r="H84" s="138"/>
      <x:c r="I84" s="138"/>
      <x:c r="J84" s="138"/>
      <x:c r="K84" s="138"/>
      <x:c r="L84" s="138"/>
      <x:c r="M84" s="138"/>
      <x:c r="N84" s="138"/>
      <x:c r="O84" s="138"/>
      <x:c r="P84" s="138"/>
      <x:c r="Q84" s="138"/>
      <x:c r="R84" s="138"/>
      <x:c r="S84" s="138"/>
      <x:c r="T84" s="138"/>
      <x:c r="U84" s="138"/>
      <x:c r="V84" s="138"/>
      <x:c r="W84" s="138"/>
      <x:c r="X84" s="138"/>
      <x:c r="Y84" s="138"/>
      <x:c r="Z84" s="138"/>
    </x:row>
    <x:row r="85">
      <x:c r="A85" s="138"/>
      <x:c r="B85" s="138"/>
      <x:c r="C85" s="138"/>
      <x:c r="D85" s="138"/>
      <x:c r="E85" s="138"/>
      <x:c r="F85" s="138"/>
      <x:c r="G85" s="138"/>
      <x:c r="H85" s="138"/>
      <x:c r="I85" s="138"/>
      <x:c r="J85" s="138"/>
      <x:c r="K85" s="138"/>
      <x:c r="L85" s="138"/>
      <x:c r="M85" s="138"/>
      <x:c r="N85" s="138"/>
      <x:c r="O85" s="138"/>
      <x:c r="P85" s="138"/>
      <x:c r="Q85" s="138"/>
      <x:c r="R85" s="138"/>
      <x:c r="S85" s="138"/>
      <x:c r="T85" s="138"/>
      <x:c r="U85" s="138"/>
      <x:c r="V85" s="138"/>
      <x:c r="W85" s="138"/>
      <x:c r="X85" s="138"/>
      <x:c r="Y85" s="138"/>
      <x:c r="Z85" s="138"/>
    </x:row>
    <x:row r="86">
      <x:c r="A86" s="138"/>
      <x:c r="B86" s="138"/>
      <x:c r="C86" s="138"/>
      <x:c r="D86" s="138"/>
      <x:c r="E86" s="138"/>
      <x:c r="F86" s="138"/>
      <x:c r="G86" s="138"/>
      <x:c r="H86" s="138"/>
      <x:c r="I86" s="138"/>
      <x:c r="J86" s="138"/>
      <x:c r="K86" s="138"/>
      <x:c r="L86" s="138"/>
      <x:c r="M86" s="138"/>
      <x:c r="N86" s="138"/>
      <x:c r="O86" s="138"/>
      <x:c r="P86" s="138"/>
      <x:c r="Q86" s="138"/>
      <x:c r="R86" s="138"/>
      <x:c r="S86" s="138"/>
      <x:c r="T86" s="138"/>
      <x:c r="U86" s="138"/>
      <x:c r="V86" s="138"/>
      <x:c r="W86" s="138"/>
      <x:c r="X86" s="138"/>
      <x:c r="Y86" s="138"/>
      <x:c r="Z86" s="138"/>
    </x:row>
    <x:row r="87">
      <x:c r="A87" s="138"/>
      <x:c r="B87" s="138"/>
      <x:c r="C87" s="138"/>
      <x:c r="D87" s="138"/>
      <x:c r="E87" s="138"/>
      <x:c r="F87" s="138"/>
      <x:c r="G87" s="138"/>
      <x:c r="H87" s="138"/>
      <x:c r="I87" s="138"/>
      <x:c r="J87" s="138"/>
      <x:c r="K87" s="138"/>
      <x:c r="L87" s="138"/>
      <x:c r="M87" s="138"/>
      <x:c r="N87" s="138"/>
      <x:c r="O87" s="138"/>
      <x:c r="P87" s="138"/>
      <x:c r="Q87" s="138"/>
      <x:c r="R87" s="138"/>
      <x:c r="S87" s="138"/>
      <x:c r="T87" s="138"/>
      <x:c r="U87" s="138"/>
      <x:c r="V87" s="138"/>
      <x:c r="W87" s="138"/>
      <x:c r="X87" s="138"/>
      <x:c r="Y87" s="138"/>
      <x:c r="Z87" s="138"/>
    </x:row>
    <x:row r="88">
      <x:c r="A88" s="138"/>
      <x:c r="B88" s="138"/>
      <x:c r="C88" s="138"/>
      <x:c r="D88" s="138"/>
      <x:c r="E88" s="138"/>
      <x:c r="F88" s="138"/>
      <x:c r="G88" s="138"/>
      <x:c r="H88" s="138"/>
      <x:c r="I88" s="138"/>
      <x:c r="J88" s="138"/>
      <x:c r="K88" s="138"/>
      <x:c r="L88" s="138"/>
      <x:c r="M88" s="138"/>
      <x:c r="N88" s="138"/>
      <x:c r="O88" s="138"/>
      <x:c r="P88" s="138"/>
      <x:c r="Q88" s="138"/>
      <x:c r="R88" s="138"/>
      <x:c r="S88" s="138"/>
      <x:c r="T88" s="138"/>
      <x:c r="U88" s="138"/>
      <x:c r="V88" s="138"/>
      <x:c r="W88" s="138"/>
      <x:c r="X88" s="138"/>
      <x:c r="Y88" s="138"/>
      <x:c r="Z88" s="138"/>
    </x:row>
    <x:row r="89">
      <x:c r="A89" s="138"/>
      <x:c r="B89" s="138"/>
      <x:c r="C89" s="138"/>
      <x:c r="D89" s="138"/>
      <x:c r="E89" s="138"/>
      <x:c r="F89" s="138"/>
      <x:c r="G89" s="138"/>
      <x:c r="H89" s="138"/>
      <x:c r="I89" s="138"/>
      <x:c r="J89" s="138"/>
      <x:c r="K89" s="138"/>
      <x:c r="L89" s="138"/>
      <x:c r="M89" s="138"/>
      <x:c r="N89" s="138"/>
      <x:c r="O89" s="138"/>
      <x:c r="P89" s="138"/>
      <x:c r="Q89" s="138"/>
      <x:c r="R89" s="138"/>
      <x:c r="S89" s="138"/>
      <x:c r="T89" s="138"/>
      <x:c r="U89" s="138"/>
      <x:c r="V89" s="138"/>
      <x:c r="W89" s="138"/>
      <x:c r="X89" s="138"/>
      <x:c r="Y89" s="138"/>
      <x:c r="Z89" s="138"/>
    </x:row>
    <x:row r="90">
      <x:c r="A90" s="138"/>
      <x:c r="B90" s="138"/>
      <x:c r="C90" s="138"/>
      <x:c r="D90" s="138"/>
      <x:c r="E90" s="138"/>
      <x:c r="F90" s="138"/>
      <x:c r="G90" s="138"/>
      <x:c r="H90" s="138"/>
      <x:c r="I90" s="138"/>
      <x:c r="J90" s="138"/>
      <x:c r="K90" s="138"/>
      <x:c r="L90" s="138"/>
      <x:c r="M90" s="138"/>
      <x:c r="N90" s="138"/>
      <x:c r="O90" s="138"/>
      <x:c r="P90" s="138"/>
      <x:c r="Q90" s="138"/>
      <x:c r="R90" s="138"/>
      <x:c r="S90" s="138"/>
      <x:c r="T90" s="138"/>
      <x:c r="U90" s="138"/>
      <x:c r="V90" s="138"/>
      <x:c r="W90" s="138"/>
      <x:c r="X90" s="138"/>
      <x:c r="Y90" s="138"/>
      <x:c r="Z90" s="138"/>
    </x:row>
    <x:row r="91">
      <x:c r="A91" s="138"/>
      <x:c r="B91" s="138"/>
      <x:c r="C91" s="138"/>
      <x:c r="D91" s="138"/>
      <x:c r="E91" s="138"/>
      <x:c r="F91" s="138"/>
      <x:c r="G91" s="138"/>
      <x:c r="H91" s="138"/>
      <x:c r="I91" s="138"/>
      <x:c r="J91" s="138"/>
      <x:c r="K91" s="138"/>
      <x:c r="L91" s="138"/>
      <x:c r="M91" s="138"/>
      <x:c r="N91" s="138"/>
      <x:c r="O91" s="138"/>
      <x:c r="P91" s="138"/>
      <x:c r="Q91" s="138"/>
      <x:c r="R91" s="138"/>
      <x:c r="S91" s="138"/>
      <x:c r="T91" s="138"/>
      <x:c r="U91" s="138"/>
      <x:c r="V91" s="138"/>
      <x:c r="W91" s="138"/>
      <x:c r="X91" s="138"/>
      <x:c r="Y91" s="138"/>
      <x:c r="Z91" s="138"/>
    </x:row>
    <x:row r="92">
      <x:c r="A92" s="138"/>
      <x:c r="B92" s="138"/>
      <x:c r="C92" s="138"/>
      <x:c r="D92" s="138"/>
      <x:c r="E92" s="138"/>
      <x:c r="F92" s="138"/>
      <x:c r="G92" s="138"/>
      <x:c r="H92" s="138"/>
      <x:c r="I92" s="138"/>
      <x:c r="J92" s="138"/>
      <x:c r="K92" s="138"/>
      <x:c r="L92" s="138"/>
      <x:c r="M92" s="138"/>
      <x:c r="N92" s="138"/>
      <x:c r="O92" s="138"/>
      <x:c r="P92" s="138"/>
      <x:c r="Q92" s="138"/>
      <x:c r="R92" s="138"/>
      <x:c r="S92" s="138"/>
      <x:c r="T92" s="138"/>
      <x:c r="U92" s="138"/>
      <x:c r="V92" s="138"/>
      <x:c r="W92" s="138"/>
      <x:c r="X92" s="138"/>
      <x:c r="Y92" s="138"/>
      <x:c r="Z92" s="138"/>
    </x:row>
    <x:row r="93">
      <x:c r="A93" s="138"/>
      <x:c r="B93" s="138"/>
      <x:c r="C93" s="138"/>
      <x:c r="D93" s="138"/>
      <x:c r="E93" s="138"/>
      <x:c r="F93" s="138"/>
      <x:c r="G93" s="138"/>
      <x:c r="H93" s="138"/>
      <x:c r="I93" s="138"/>
      <x:c r="J93" s="138"/>
      <x:c r="K93" s="138"/>
      <x:c r="L93" s="138"/>
      <x:c r="M93" s="138"/>
      <x:c r="N93" s="138"/>
      <x:c r="O93" s="138"/>
      <x:c r="P93" s="138"/>
      <x:c r="Q93" s="138"/>
      <x:c r="R93" s="138"/>
      <x:c r="S93" s="138"/>
      <x:c r="T93" s="138"/>
      <x:c r="U93" s="138"/>
      <x:c r="V93" s="138"/>
      <x:c r="W93" s="138"/>
      <x:c r="X93" s="138"/>
      <x:c r="Y93" s="138"/>
      <x:c r="Z93" s="138"/>
    </x:row>
    <x:row r="94">
      <x:c r="A94" s="138"/>
      <x:c r="B94" s="138"/>
      <x:c r="C94" s="138"/>
      <x:c r="D94" s="138"/>
      <x:c r="E94" s="138"/>
      <x:c r="F94" s="138"/>
      <x:c r="G94" s="138"/>
      <x:c r="H94" s="138"/>
      <x:c r="I94" s="138"/>
      <x:c r="J94" s="138"/>
      <x:c r="K94" s="138"/>
      <x:c r="L94" s="138"/>
      <x:c r="M94" s="138"/>
      <x:c r="N94" s="138"/>
      <x:c r="O94" s="138"/>
      <x:c r="P94" s="138"/>
      <x:c r="Q94" s="138"/>
      <x:c r="R94" s="138"/>
      <x:c r="S94" s="138"/>
      <x:c r="T94" s="138"/>
      <x:c r="U94" s="138"/>
      <x:c r="V94" s="138"/>
      <x:c r="W94" s="138"/>
      <x:c r="X94" s="138"/>
      <x:c r="Y94" s="138"/>
      <x:c r="Z94" s="138"/>
    </x:row>
    <x:row r="95">
      <x:c r="A95" s="138"/>
      <x:c r="B95" s="138"/>
      <x:c r="C95" s="138"/>
      <x:c r="D95" s="138"/>
      <x:c r="E95" s="138"/>
      <x:c r="F95" s="138"/>
      <x:c r="G95" s="138"/>
      <x:c r="H95" s="138"/>
      <x:c r="I95" s="138"/>
      <x:c r="J95" s="138"/>
      <x:c r="K95" s="138"/>
      <x:c r="L95" s="138"/>
      <x:c r="M95" s="138"/>
      <x:c r="N95" s="138"/>
      <x:c r="O95" s="138"/>
      <x:c r="P95" s="138"/>
      <x:c r="Q95" s="138"/>
      <x:c r="R95" s="138"/>
      <x:c r="S95" s="138"/>
      <x:c r="T95" s="138"/>
      <x:c r="U95" s="138"/>
      <x:c r="V95" s="138"/>
      <x:c r="W95" s="138"/>
      <x:c r="X95" s="138"/>
      <x:c r="Y95" s="138"/>
      <x:c r="Z95" s="138"/>
    </x:row>
    <x:row r="96">
      <x:c r="A96" s="138"/>
      <x:c r="B96" s="138"/>
      <x:c r="C96" s="138"/>
      <x:c r="D96" s="138"/>
      <x:c r="E96" s="138"/>
      <x:c r="F96" s="138"/>
      <x:c r="G96" s="138"/>
      <x:c r="H96" s="138"/>
      <x:c r="I96" s="138"/>
      <x:c r="J96" s="138"/>
      <x:c r="K96" s="138"/>
      <x:c r="L96" s="138"/>
      <x:c r="M96" s="138"/>
      <x:c r="N96" s="138"/>
      <x:c r="O96" s="138"/>
      <x:c r="P96" s="138"/>
      <x:c r="Q96" s="138"/>
      <x:c r="R96" s="138"/>
      <x:c r="S96" s="138"/>
      <x:c r="T96" s="138"/>
      <x:c r="U96" s="138"/>
      <x:c r="V96" s="138"/>
      <x:c r="W96" s="138"/>
      <x:c r="X96" s="138"/>
      <x:c r="Y96" s="138"/>
      <x:c r="Z96" s="138"/>
    </x:row>
    <x:row r="97">
      <x:c r="A97" s="138"/>
      <x:c r="B97" s="138"/>
      <x:c r="C97" s="138"/>
      <x:c r="D97" s="138"/>
      <x:c r="E97" s="138"/>
      <x:c r="F97" s="138"/>
      <x:c r="G97" s="138"/>
      <x:c r="H97" s="138"/>
      <x:c r="I97" s="138"/>
      <x:c r="J97" s="138"/>
      <x:c r="K97" s="138"/>
      <x:c r="L97" s="138"/>
      <x:c r="M97" s="138"/>
      <x:c r="N97" s="138"/>
      <x:c r="O97" s="138"/>
      <x:c r="P97" s="138"/>
      <x:c r="Q97" s="138"/>
      <x:c r="R97" s="138"/>
      <x:c r="S97" s="138"/>
      <x:c r="T97" s="138"/>
      <x:c r="U97" s="138"/>
      <x:c r="V97" s="138"/>
      <x:c r="W97" s="138"/>
      <x:c r="X97" s="138"/>
      <x:c r="Y97" s="138"/>
      <x:c r="Z97" s="138"/>
    </x:row>
    <x:row r="98">
      <x:c r="A98" s="138"/>
      <x:c r="B98" s="138"/>
      <x:c r="C98" s="138"/>
      <x:c r="D98" s="138"/>
      <x:c r="E98" s="138"/>
      <x:c r="F98" s="138"/>
      <x:c r="G98" s="138"/>
      <x:c r="H98" s="138"/>
      <x:c r="I98" s="138"/>
      <x:c r="J98" s="138"/>
      <x:c r="K98" s="138"/>
      <x:c r="L98" s="138"/>
      <x:c r="M98" s="138"/>
      <x:c r="N98" s="138"/>
      <x:c r="O98" s="138"/>
      <x:c r="P98" s="138"/>
      <x:c r="Q98" s="138"/>
      <x:c r="R98" s="138"/>
      <x:c r="S98" s="138"/>
      <x:c r="T98" s="138"/>
      <x:c r="U98" s="138"/>
      <x:c r="V98" s="138"/>
      <x:c r="W98" s="138"/>
      <x:c r="X98" s="138"/>
      <x:c r="Y98" s="138"/>
      <x:c r="Z98" s="138"/>
    </x:row>
    <x:row r="99">
      <x:c r="A99" s="138"/>
      <x:c r="B99" s="138"/>
      <x:c r="C99" s="138"/>
      <x:c r="D99" s="138"/>
      <x:c r="E99" s="138"/>
      <x:c r="F99" s="138"/>
      <x:c r="G99" s="138"/>
      <x:c r="H99" s="138"/>
      <x:c r="I99" s="138"/>
      <x:c r="J99" s="138"/>
      <x:c r="K99" s="138"/>
      <x:c r="L99" s="138"/>
      <x:c r="M99" s="138"/>
      <x:c r="N99" s="138"/>
      <x:c r="O99" s="138"/>
      <x:c r="P99" s="138"/>
      <x:c r="Q99" s="138"/>
      <x:c r="R99" s="138"/>
      <x:c r="S99" s="138"/>
      <x:c r="T99" s="138"/>
      <x:c r="U99" s="138"/>
      <x:c r="V99" s="138"/>
      <x:c r="W99" s="138"/>
      <x:c r="X99" s="138"/>
      <x:c r="Y99" s="138"/>
      <x:c r="Z99" s="138"/>
    </x:row>
    <x:row r="100">
      <x:c r="A100" s="138"/>
      <x:c r="B100" s="138"/>
      <x:c r="C100" s="138"/>
      <x:c r="D100" s="138"/>
      <x:c r="E100" s="138"/>
      <x:c r="F100" s="138"/>
      <x:c r="G100" s="138"/>
      <x:c r="H100" s="138"/>
      <x:c r="I100" s="138"/>
      <x:c r="J100" s="138"/>
      <x:c r="K100" s="138"/>
      <x:c r="L100" s="138"/>
      <x:c r="M100" s="138"/>
      <x:c r="N100" s="138"/>
      <x:c r="O100" s="138"/>
      <x:c r="P100" s="138"/>
      <x:c r="Q100" s="138"/>
      <x:c r="R100" s="138"/>
      <x:c r="S100" s="138"/>
      <x:c r="T100" s="138"/>
      <x:c r="U100" s="138"/>
      <x:c r="V100" s="138"/>
      <x:c r="W100" s="138"/>
      <x:c r="X100" s="138"/>
      <x:c r="Y100" s="138"/>
      <x:c r="Z100" s="138"/>
    </x:row>
    <x:row r="101">
      <x:c r="A101" s="138"/>
      <x:c r="B101" s="138"/>
      <x:c r="C101" s="138"/>
      <x:c r="D101" s="138"/>
      <x:c r="E101" s="138"/>
      <x:c r="F101" s="138"/>
      <x:c r="G101" s="138"/>
      <x:c r="H101" s="138"/>
      <x:c r="I101" s="138"/>
      <x:c r="J101" s="138"/>
      <x:c r="K101" s="138"/>
      <x:c r="L101" s="138"/>
      <x:c r="M101" s="138"/>
      <x:c r="N101" s="138"/>
      <x:c r="O101" s="138"/>
      <x:c r="P101" s="138"/>
      <x:c r="Q101" s="138"/>
      <x:c r="R101" s="138"/>
      <x:c r="S101" s="138"/>
      <x:c r="T101" s="138"/>
      <x:c r="U101" s="138"/>
      <x:c r="V101" s="138"/>
      <x:c r="W101" s="138"/>
      <x:c r="X101" s="138"/>
      <x:c r="Y101" s="138"/>
      <x:c r="Z101" s="138"/>
    </x:row>
    <x:row r="102">
      <x:c r="A102" s="138"/>
      <x:c r="B102" s="138"/>
      <x:c r="C102" s="138"/>
      <x:c r="D102" s="138"/>
      <x:c r="E102" s="138"/>
      <x:c r="F102" s="138"/>
      <x:c r="G102" s="138"/>
      <x:c r="H102" s="138"/>
      <x:c r="I102" s="138"/>
      <x:c r="J102" s="138"/>
      <x:c r="K102" s="138"/>
      <x:c r="L102" s="138"/>
      <x:c r="M102" s="138"/>
      <x:c r="N102" s="138"/>
      <x:c r="O102" s="138"/>
      <x:c r="P102" s="138"/>
      <x:c r="Q102" s="138"/>
      <x:c r="R102" s="138"/>
      <x:c r="S102" s="138"/>
      <x:c r="T102" s="138"/>
      <x:c r="U102" s="138"/>
      <x:c r="V102" s="138"/>
      <x:c r="W102" s="138"/>
      <x:c r="X102" s="138"/>
      <x:c r="Y102" s="138"/>
      <x:c r="Z102" s="138"/>
    </x:row>
    <x:row r="103">
      <x:c r="A103" s="138"/>
      <x:c r="B103" s="138"/>
      <x:c r="C103" s="138"/>
      <x:c r="D103" s="138"/>
      <x:c r="E103" s="138"/>
      <x:c r="F103" s="138"/>
      <x:c r="G103" s="138"/>
      <x:c r="H103" s="138"/>
      <x:c r="I103" s="138"/>
      <x:c r="J103" s="138"/>
      <x:c r="K103" s="138"/>
      <x:c r="L103" s="138"/>
      <x:c r="M103" s="138"/>
      <x:c r="N103" s="138"/>
      <x:c r="O103" s="138"/>
      <x:c r="P103" s="138"/>
      <x:c r="Q103" s="138"/>
      <x:c r="R103" s="138"/>
      <x:c r="S103" s="138"/>
      <x:c r="T103" s="138"/>
      <x:c r="U103" s="138"/>
      <x:c r="V103" s="138"/>
      <x:c r="W103" s="138"/>
      <x:c r="X103" s="138"/>
      <x:c r="Y103" s="138"/>
      <x:c r="Z103" s="138"/>
    </x:row>
    <x:row r="104">
      <x:c r="A104" s="138"/>
      <x:c r="B104" s="138"/>
      <x:c r="C104" s="138"/>
      <x:c r="D104" s="138"/>
      <x:c r="E104" s="138"/>
      <x:c r="F104" s="138"/>
      <x:c r="G104" s="138"/>
      <x:c r="H104" s="138"/>
      <x:c r="I104" s="138"/>
      <x:c r="J104" s="138"/>
      <x:c r="K104" s="138"/>
      <x:c r="L104" s="138"/>
      <x:c r="M104" s="138"/>
      <x:c r="N104" s="138"/>
      <x:c r="O104" s="138"/>
      <x:c r="P104" s="138"/>
      <x:c r="Q104" s="138"/>
      <x:c r="R104" s="138"/>
      <x:c r="S104" s="138"/>
      <x:c r="T104" s="138"/>
      <x:c r="U104" s="138"/>
      <x:c r="V104" s="138"/>
      <x:c r="W104" s="138"/>
      <x:c r="X104" s="138"/>
      <x:c r="Y104" s="138"/>
      <x:c r="Z104" s="138"/>
    </x:row>
    <x:row r="105">
      <x:c r="A105" s="138"/>
      <x:c r="B105" s="138"/>
      <x:c r="C105" s="138"/>
      <x:c r="D105" s="138"/>
      <x:c r="E105" s="138"/>
      <x:c r="F105" s="138"/>
      <x:c r="G105" s="138"/>
      <x:c r="H105" s="138"/>
      <x:c r="I105" s="138"/>
      <x:c r="J105" s="138"/>
      <x:c r="K105" s="138"/>
      <x:c r="L105" s="138"/>
      <x:c r="M105" s="138"/>
      <x:c r="N105" s="138"/>
      <x:c r="O105" s="138"/>
      <x:c r="P105" s="138"/>
      <x:c r="Q105" s="138"/>
      <x:c r="R105" s="138"/>
      <x:c r="S105" s="138"/>
      <x:c r="T105" s="138"/>
      <x:c r="U105" s="138"/>
      <x:c r="V105" s="138"/>
      <x:c r="W105" s="138"/>
      <x:c r="X105" s="138"/>
      <x:c r="Y105" s="138"/>
      <x:c r="Z105" s="138"/>
    </x:row>
    <x:row r="106">
      <x:c r="A106" s="138"/>
      <x:c r="B106" s="138"/>
      <x:c r="C106" s="138"/>
      <x:c r="D106" s="138"/>
      <x:c r="E106" s="138"/>
      <x:c r="F106" s="138"/>
      <x:c r="G106" s="138"/>
      <x:c r="H106" s="138"/>
      <x:c r="I106" s="138"/>
      <x:c r="J106" s="138"/>
      <x:c r="K106" s="138"/>
      <x:c r="L106" s="138"/>
      <x:c r="M106" s="138"/>
      <x:c r="N106" s="138"/>
      <x:c r="O106" s="138"/>
      <x:c r="P106" s="138"/>
      <x:c r="Q106" s="138"/>
      <x:c r="R106" s="138"/>
      <x:c r="S106" s="138"/>
      <x:c r="T106" s="138"/>
      <x:c r="U106" s="138"/>
      <x:c r="V106" s="138"/>
      <x:c r="W106" s="138"/>
      <x:c r="X106" s="138"/>
      <x:c r="Y106" s="138"/>
      <x:c r="Z106" s="138"/>
    </x:row>
    <x:row r="107">
      <x:c r="A107" s="138"/>
      <x:c r="B107" s="138"/>
      <x:c r="C107" s="138"/>
      <x:c r="D107" s="138"/>
      <x:c r="E107" s="138"/>
      <x:c r="F107" s="138"/>
      <x:c r="G107" s="138"/>
      <x:c r="H107" s="138"/>
      <x:c r="I107" s="138"/>
      <x:c r="J107" s="138"/>
      <x:c r="K107" s="138"/>
      <x:c r="L107" s="138"/>
      <x:c r="M107" s="138"/>
      <x:c r="N107" s="138"/>
      <x:c r="O107" s="138"/>
      <x:c r="P107" s="138"/>
      <x:c r="Q107" s="138"/>
      <x:c r="R107" s="138"/>
      <x:c r="S107" s="138"/>
      <x:c r="T107" s="138"/>
      <x:c r="U107" s="138"/>
      <x:c r="V107" s="138"/>
      <x:c r="W107" s="138"/>
      <x:c r="X107" s="138"/>
      <x:c r="Y107" s="138"/>
      <x:c r="Z107" s="138"/>
    </x:row>
    <x:row r="108">
      <x:c r="A108" s="138"/>
      <x:c r="B108" s="138"/>
      <x:c r="C108" s="138"/>
      <x:c r="D108" s="138"/>
      <x:c r="E108" s="138"/>
      <x:c r="F108" s="138"/>
      <x:c r="G108" s="138"/>
      <x:c r="H108" s="138"/>
      <x:c r="I108" s="138"/>
      <x:c r="J108" s="138"/>
      <x:c r="K108" s="138"/>
      <x:c r="L108" s="138"/>
      <x:c r="M108" s="138"/>
      <x:c r="N108" s="138"/>
      <x:c r="O108" s="138"/>
      <x:c r="P108" s="138"/>
      <x:c r="Q108" s="138"/>
      <x:c r="R108" s="138"/>
      <x:c r="S108" s="138"/>
      <x:c r="T108" s="138"/>
      <x:c r="U108" s="138"/>
      <x:c r="V108" s="138"/>
      <x:c r="W108" s="138"/>
      <x:c r="X108" s="138"/>
      <x:c r="Y108" s="138"/>
      <x:c r="Z108" s="138"/>
    </x:row>
    <x:row r="109">
      <x:c r="A109" s="138"/>
      <x:c r="B109" s="138"/>
      <x:c r="C109" s="138"/>
      <x:c r="D109" s="138"/>
      <x:c r="E109" s="138"/>
      <x:c r="F109" s="138"/>
      <x:c r="G109" s="138"/>
      <x:c r="H109" s="138"/>
      <x:c r="I109" s="138"/>
      <x:c r="J109" s="138"/>
      <x:c r="K109" s="138"/>
      <x:c r="L109" s="138"/>
      <x:c r="M109" s="138"/>
      <x:c r="N109" s="138"/>
      <x:c r="O109" s="138"/>
      <x:c r="P109" s="138"/>
      <x:c r="Q109" s="138"/>
      <x:c r="R109" s="138"/>
      <x:c r="S109" s="138"/>
      <x:c r="T109" s="138"/>
      <x:c r="U109" s="138"/>
      <x:c r="V109" s="138"/>
      <x:c r="W109" s="138"/>
      <x:c r="X109" s="138"/>
      <x:c r="Y109" s="138"/>
      <x:c r="Z109" s="138"/>
    </x:row>
    <x:row r="110">
      <x:c r="A110" s="138"/>
      <x:c r="B110" s="138"/>
      <x:c r="C110" s="138"/>
      <x:c r="D110" s="138"/>
      <x:c r="E110" s="138"/>
      <x:c r="F110" s="138"/>
      <x:c r="G110" s="138"/>
      <x:c r="H110" s="138"/>
      <x:c r="I110" s="138"/>
      <x:c r="J110" s="138"/>
      <x:c r="K110" s="138"/>
      <x:c r="L110" s="138"/>
      <x:c r="M110" s="138"/>
      <x:c r="N110" s="138"/>
      <x:c r="O110" s="138"/>
      <x:c r="P110" s="138"/>
      <x:c r="Q110" s="138"/>
      <x:c r="R110" s="138"/>
      <x:c r="S110" s="138"/>
      <x:c r="T110" s="138"/>
      <x:c r="U110" s="138"/>
      <x:c r="V110" s="138"/>
      <x:c r="W110" s="138"/>
      <x:c r="X110" s="138"/>
      <x:c r="Y110" s="138"/>
      <x:c r="Z110" s="138"/>
    </x:row>
    <x:row r="111">
      <x:c r="A111" s="138"/>
      <x:c r="B111" s="138"/>
      <x:c r="C111" s="138"/>
      <x:c r="D111" s="138"/>
      <x:c r="E111" s="138"/>
      <x:c r="F111" s="138"/>
      <x:c r="G111" s="138"/>
      <x:c r="H111" s="138"/>
      <x:c r="I111" s="138"/>
      <x:c r="J111" s="138"/>
      <x:c r="K111" s="138"/>
      <x:c r="L111" s="138"/>
      <x:c r="M111" s="138"/>
      <x:c r="N111" s="138"/>
      <x:c r="O111" s="138"/>
      <x:c r="P111" s="138"/>
      <x:c r="Q111" s="138"/>
      <x:c r="R111" s="138"/>
      <x:c r="S111" s="138"/>
      <x:c r="T111" s="138"/>
      <x:c r="U111" s="138"/>
      <x:c r="V111" s="138"/>
      <x:c r="W111" s="138"/>
      <x:c r="X111" s="138"/>
      <x:c r="Y111" s="138"/>
      <x:c r="Z111" s="138"/>
    </x:row>
    <x:row r="112">
      <x:c r="A112" s="138"/>
      <x:c r="B112" s="138"/>
      <x:c r="C112" s="138"/>
      <x:c r="D112" s="138"/>
      <x:c r="E112" s="138"/>
      <x:c r="F112" s="138"/>
      <x:c r="G112" s="138"/>
      <x:c r="H112" s="138"/>
      <x:c r="I112" s="138"/>
      <x:c r="J112" s="138"/>
      <x:c r="K112" s="138"/>
      <x:c r="L112" s="138"/>
      <x:c r="M112" s="138"/>
      <x:c r="N112" s="138"/>
      <x:c r="O112" s="138"/>
      <x:c r="P112" s="138"/>
      <x:c r="Q112" s="138"/>
      <x:c r="R112" s="138"/>
      <x:c r="S112" s="138"/>
      <x:c r="T112" s="138"/>
      <x:c r="U112" s="138"/>
      <x:c r="V112" s="138"/>
      <x:c r="W112" s="138"/>
      <x:c r="X112" s="138"/>
      <x:c r="Y112" s="138"/>
      <x:c r="Z112" s="138"/>
    </x:row>
    <x:row r="113">
      <x:c r="A113" s="138"/>
      <x:c r="B113" s="138"/>
      <x:c r="C113" s="138"/>
      <x:c r="D113" s="138"/>
      <x:c r="E113" s="138"/>
      <x:c r="F113" s="138"/>
      <x:c r="G113" s="138"/>
      <x:c r="H113" s="138"/>
      <x:c r="I113" s="138"/>
      <x:c r="J113" s="138"/>
      <x:c r="K113" s="138"/>
      <x:c r="L113" s="138"/>
      <x:c r="M113" s="138"/>
      <x:c r="N113" s="138"/>
      <x:c r="O113" s="138"/>
      <x:c r="P113" s="138"/>
      <x:c r="Q113" s="138"/>
      <x:c r="R113" s="138"/>
      <x:c r="S113" s="138"/>
      <x:c r="T113" s="138"/>
      <x:c r="U113" s="138"/>
      <x:c r="V113" s="138"/>
      <x:c r="W113" s="138"/>
      <x:c r="X113" s="138"/>
      <x:c r="Y113" s="138"/>
      <x:c r="Z113" s="138"/>
    </x:row>
    <x:row r="114">
      <x:c r="A114" s="138"/>
      <x:c r="B114" s="138"/>
      <x:c r="C114" s="138"/>
      <x:c r="D114" s="138"/>
      <x:c r="E114" s="138"/>
      <x:c r="F114" s="138"/>
      <x:c r="G114" s="138"/>
      <x:c r="H114" s="138"/>
      <x:c r="I114" s="138"/>
      <x:c r="J114" s="138"/>
      <x:c r="K114" s="138"/>
      <x:c r="L114" s="138"/>
      <x:c r="M114" s="138"/>
      <x:c r="N114" s="138"/>
      <x:c r="O114" s="138"/>
      <x:c r="P114" s="138"/>
      <x:c r="Q114" s="138"/>
      <x:c r="R114" s="138"/>
      <x:c r="S114" s="138"/>
      <x:c r="T114" s="138"/>
      <x:c r="U114" s="138"/>
      <x:c r="V114" s="138"/>
      <x:c r="W114" s="138"/>
      <x:c r="X114" s="138"/>
      <x:c r="Y114" s="138"/>
      <x:c r="Z114" s="138"/>
    </x:row>
    <x:row r="115">
      <x:c r="A115" s="138"/>
      <x:c r="B115" s="138"/>
      <x:c r="C115" s="138"/>
      <x:c r="D115" s="138"/>
      <x:c r="E115" s="138"/>
      <x:c r="F115" s="138"/>
      <x:c r="G115" s="138"/>
      <x:c r="H115" s="138"/>
      <x:c r="I115" s="138"/>
      <x:c r="J115" s="138"/>
      <x:c r="K115" s="138"/>
      <x:c r="L115" s="138"/>
      <x:c r="M115" s="138"/>
      <x:c r="N115" s="138"/>
      <x:c r="O115" s="138"/>
      <x:c r="P115" s="138"/>
      <x:c r="Q115" s="138"/>
      <x:c r="R115" s="138"/>
      <x:c r="S115" s="138"/>
      <x:c r="T115" s="138"/>
      <x:c r="U115" s="138"/>
      <x:c r="V115" s="138"/>
      <x:c r="W115" s="138"/>
      <x:c r="X115" s="138"/>
      <x:c r="Y115" s="138"/>
      <x:c r="Z115" s="138"/>
    </x:row>
    <x:row r="116">
      <x:c r="A116" s="138"/>
      <x:c r="B116" s="138"/>
      <x:c r="C116" s="138"/>
      <x:c r="D116" s="138"/>
      <x:c r="E116" s="138"/>
      <x:c r="F116" s="138"/>
      <x:c r="G116" s="138"/>
      <x:c r="H116" s="138"/>
      <x:c r="I116" s="138"/>
      <x:c r="J116" s="138"/>
      <x:c r="K116" s="138"/>
      <x:c r="L116" s="138"/>
      <x:c r="M116" s="138"/>
      <x:c r="N116" s="138"/>
      <x:c r="O116" s="138"/>
      <x:c r="P116" s="138"/>
      <x:c r="Q116" s="138"/>
      <x:c r="R116" s="138"/>
      <x:c r="S116" s="138"/>
      <x:c r="T116" s="138"/>
      <x:c r="U116" s="138"/>
      <x:c r="V116" s="138"/>
      <x:c r="W116" s="138"/>
      <x:c r="X116" s="138"/>
      <x:c r="Y116" s="138"/>
      <x:c r="Z116" s="138"/>
    </x:row>
    <x:row r="117">
      <x:c r="A117" s="138"/>
      <x:c r="B117" s="138"/>
      <x:c r="C117" s="138"/>
      <x:c r="D117" s="138"/>
      <x:c r="E117" s="138"/>
      <x:c r="F117" s="138"/>
      <x:c r="G117" s="138"/>
      <x:c r="H117" s="138"/>
      <x:c r="I117" s="138"/>
      <x:c r="J117" s="138"/>
      <x:c r="K117" s="138"/>
      <x:c r="L117" s="138"/>
      <x:c r="M117" s="138"/>
      <x:c r="N117" s="138"/>
      <x:c r="O117" s="138"/>
      <x:c r="P117" s="138"/>
      <x:c r="Q117" s="138"/>
      <x:c r="R117" s="138"/>
      <x:c r="S117" s="138"/>
      <x:c r="T117" s="138"/>
      <x:c r="U117" s="138"/>
      <x:c r="V117" s="138"/>
      <x:c r="W117" s="138"/>
      <x:c r="X117" s="138"/>
      <x:c r="Y117" s="138"/>
      <x:c r="Z117" s="138"/>
    </x:row>
    <x:row r="118">
      <x:c r="A118" s="138"/>
      <x:c r="B118" s="138"/>
      <x:c r="C118" s="138"/>
      <x:c r="D118" s="138"/>
      <x:c r="E118" s="138"/>
      <x:c r="F118" s="138"/>
      <x:c r="G118" s="138"/>
      <x:c r="H118" s="138"/>
      <x:c r="I118" s="138"/>
      <x:c r="J118" s="138"/>
      <x:c r="K118" s="138"/>
      <x:c r="L118" s="138"/>
      <x:c r="M118" s="138"/>
      <x:c r="N118" s="138"/>
      <x:c r="O118" s="138"/>
      <x:c r="P118" s="138"/>
      <x:c r="Q118" s="138"/>
      <x:c r="R118" s="138"/>
      <x:c r="S118" s="138"/>
      <x:c r="T118" s="138"/>
      <x:c r="U118" s="138"/>
      <x:c r="V118" s="138"/>
      <x:c r="W118" s="138"/>
      <x:c r="X118" s="138"/>
      <x:c r="Y118" s="138"/>
      <x:c r="Z118" s="138"/>
    </x:row>
    <x:row r="119">
      <x:c r="A119" s="138"/>
      <x:c r="B119" s="138"/>
      <x:c r="C119" s="138"/>
      <x:c r="D119" s="138"/>
      <x:c r="E119" s="138"/>
      <x:c r="F119" s="138"/>
      <x:c r="G119" s="138"/>
      <x:c r="H119" s="138"/>
      <x:c r="I119" s="138"/>
      <x:c r="J119" s="138"/>
      <x:c r="K119" s="138"/>
      <x:c r="L119" s="138"/>
      <x:c r="M119" s="138"/>
      <x:c r="N119" s="138"/>
      <x:c r="O119" s="138"/>
      <x:c r="P119" s="138"/>
      <x:c r="Q119" s="138"/>
      <x:c r="R119" s="138"/>
      <x:c r="S119" s="138"/>
      <x:c r="T119" s="138"/>
      <x:c r="U119" s="138"/>
      <x:c r="V119" s="138"/>
      <x:c r="W119" s="138"/>
      <x:c r="X119" s="138"/>
      <x:c r="Y119" s="138"/>
      <x:c r="Z119" s="138"/>
    </x:row>
    <x:row r="120">
      <x:c r="A120" s="138"/>
      <x:c r="B120" s="138"/>
      <x:c r="C120" s="138"/>
      <x:c r="D120" s="138"/>
      <x:c r="E120" s="138"/>
      <x:c r="F120" s="138"/>
      <x:c r="G120" s="138"/>
      <x:c r="H120" s="138"/>
      <x:c r="I120" s="138"/>
      <x:c r="J120" s="138"/>
      <x:c r="K120" s="138"/>
      <x:c r="L120" s="138"/>
      <x:c r="M120" s="138"/>
      <x:c r="N120" s="138"/>
      <x:c r="O120" s="138"/>
      <x:c r="P120" s="138"/>
      <x:c r="Q120" s="138"/>
      <x:c r="R120" s="138"/>
      <x:c r="S120" s="138"/>
      <x:c r="T120" s="138"/>
      <x:c r="U120" s="138"/>
      <x:c r="V120" s="138"/>
      <x:c r="W120" s="138"/>
      <x:c r="X120" s="138"/>
      <x:c r="Y120" s="138"/>
      <x:c r="Z120" s="138"/>
    </x:row>
    <x:row r="121">
      <x:c r="A121" s="138"/>
      <x:c r="B121" s="138"/>
      <x:c r="C121" s="138"/>
      <x:c r="D121" s="138"/>
      <x:c r="E121" s="138"/>
      <x:c r="F121" s="138"/>
      <x:c r="G121" s="138"/>
      <x:c r="H121" s="138"/>
      <x:c r="I121" s="138"/>
      <x:c r="J121" s="138"/>
      <x:c r="K121" s="138"/>
      <x:c r="L121" s="138"/>
      <x:c r="M121" s="138"/>
      <x:c r="N121" s="138"/>
      <x:c r="O121" s="138"/>
      <x:c r="P121" s="138"/>
      <x:c r="Q121" s="138"/>
      <x:c r="R121" s="138"/>
      <x:c r="S121" s="138"/>
      <x:c r="T121" s="138"/>
      <x:c r="U121" s="138"/>
      <x:c r="V121" s="138"/>
      <x:c r="W121" s="138"/>
      <x:c r="X121" s="138"/>
      <x:c r="Y121" s="138"/>
      <x:c r="Z121" s="138"/>
    </x:row>
    <x:row r="122">
      <x:c r="A122" s="138"/>
      <x:c r="B122" s="138"/>
      <x:c r="C122" s="138"/>
      <x:c r="D122" s="138"/>
      <x:c r="E122" s="138"/>
      <x:c r="F122" s="138"/>
      <x:c r="G122" s="138"/>
      <x:c r="H122" s="138"/>
      <x:c r="I122" s="138"/>
      <x:c r="J122" s="138"/>
      <x:c r="K122" s="138"/>
      <x:c r="L122" s="138"/>
      <x:c r="M122" s="138"/>
      <x:c r="N122" s="138"/>
      <x:c r="O122" s="138"/>
      <x:c r="P122" s="138"/>
      <x:c r="Q122" s="138"/>
      <x:c r="R122" s="138"/>
      <x:c r="S122" s="138"/>
      <x:c r="T122" s="138"/>
      <x:c r="U122" s="138"/>
      <x:c r="V122" s="138"/>
      <x:c r="W122" s="138"/>
      <x:c r="X122" s="138"/>
      <x:c r="Y122" s="138"/>
      <x:c r="Z122" s="138"/>
    </x:row>
    <x:row r="123">
      <x:c r="A123" s="138"/>
      <x:c r="B123" s="138"/>
      <x:c r="C123" s="138"/>
      <x:c r="D123" s="138"/>
      <x:c r="E123" s="138"/>
      <x:c r="F123" s="138"/>
      <x:c r="G123" s="138"/>
      <x:c r="H123" s="138"/>
      <x:c r="I123" s="138"/>
      <x:c r="J123" s="138"/>
      <x:c r="K123" s="138"/>
      <x:c r="L123" s="138"/>
      <x:c r="M123" s="138"/>
      <x:c r="N123" s="138"/>
      <x:c r="O123" s="138"/>
      <x:c r="P123" s="138"/>
      <x:c r="Q123" s="138"/>
      <x:c r="R123" s="138"/>
      <x:c r="S123" s="138"/>
      <x:c r="T123" s="138"/>
      <x:c r="U123" s="138"/>
      <x:c r="V123" s="138"/>
      <x:c r="W123" s="138"/>
      <x:c r="X123" s="138"/>
      <x:c r="Y123" s="138"/>
      <x:c r="Z123" s="138"/>
    </x:row>
    <x:row r="124">
      <x:c r="A124" s="138"/>
      <x:c r="B124" s="138"/>
      <x:c r="C124" s="138"/>
      <x:c r="D124" s="138"/>
      <x:c r="E124" s="138"/>
      <x:c r="F124" s="138"/>
      <x:c r="G124" s="138"/>
      <x:c r="H124" s="138"/>
      <x:c r="I124" s="138"/>
      <x:c r="J124" s="138"/>
      <x:c r="K124" s="138"/>
      <x:c r="L124" s="138"/>
      <x:c r="M124" s="138"/>
      <x:c r="N124" s="138"/>
      <x:c r="O124" s="138"/>
      <x:c r="P124" s="138"/>
      <x:c r="Q124" s="138"/>
      <x:c r="R124" s="138"/>
      <x:c r="S124" s="138"/>
      <x:c r="T124" s="138"/>
      <x:c r="U124" s="138"/>
      <x:c r="V124" s="138"/>
      <x:c r="W124" s="138"/>
      <x:c r="X124" s="138"/>
      <x:c r="Y124" s="138"/>
      <x:c r="Z124" s="138"/>
    </x:row>
    <x:row r="125">
      <x:c r="A125" s="138"/>
      <x:c r="B125" s="138"/>
      <x:c r="C125" s="138"/>
      <x:c r="D125" s="138"/>
      <x:c r="E125" s="138"/>
      <x:c r="F125" s="138"/>
      <x:c r="G125" s="138"/>
      <x:c r="H125" s="138"/>
      <x:c r="I125" s="138"/>
      <x:c r="J125" s="138"/>
      <x:c r="K125" s="138"/>
      <x:c r="L125" s="138"/>
      <x:c r="M125" s="138"/>
      <x:c r="N125" s="138"/>
      <x:c r="O125" s="138"/>
      <x:c r="P125" s="138"/>
      <x:c r="Q125" s="138"/>
      <x:c r="R125" s="138"/>
      <x:c r="S125" s="138"/>
      <x:c r="T125" s="138"/>
      <x:c r="U125" s="138"/>
      <x:c r="V125" s="138"/>
      <x:c r="W125" s="138"/>
      <x:c r="X125" s="138"/>
      <x:c r="Y125" s="138"/>
      <x:c r="Z125" s="138"/>
    </x:row>
    <x:row r="126">
      <x:c r="A126" s="138"/>
      <x:c r="B126" s="138"/>
      <x:c r="C126" s="138"/>
      <x:c r="D126" s="138"/>
      <x:c r="E126" s="138"/>
      <x:c r="F126" s="138"/>
      <x:c r="G126" s="138"/>
      <x:c r="H126" s="138"/>
      <x:c r="I126" s="138"/>
      <x:c r="J126" s="138"/>
      <x:c r="K126" s="138"/>
      <x:c r="L126" s="138"/>
      <x:c r="M126" s="138"/>
      <x:c r="N126" s="138"/>
      <x:c r="O126" s="138"/>
      <x:c r="P126" s="138"/>
      <x:c r="Q126" s="138"/>
      <x:c r="R126" s="138"/>
      <x:c r="S126" s="138"/>
      <x:c r="T126" s="138"/>
      <x:c r="U126" s="138"/>
      <x:c r="V126" s="138"/>
      <x:c r="W126" s="138"/>
      <x:c r="X126" s="138"/>
      <x:c r="Y126" s="138"/>
      <x:c r="Z126" s="138"/>
    </x:row>
    <x:row r="127">
      <x:c r="A127" s="138"/>
      <x:c r="B127" s="138"/>
      <x:c r="C127" s="138"/>
      <x:c r="D127" s="138"/>
      <x:c r="E127" s="138"/>
      <x:c r="F127" s="138"/>
      <x:c r="G127" s="138"/>
      <x:c r="H127" s="138"/>
      <x:c r="I127" s="138"/>
      <x:c r="J127" s="138"/>
      <x:c r="K127" s="138"/>
      <x:c r="L127" s="138"/>
      <x:c r="M127" s="138"/>
      <x:c r="N127" s="138"/>
      <x:c r="O127" s="138"/>
      <x:c r="P127" s="138"/>
      <x:c r="Q127" s="138"/>
      <x:c r="R127" s="138"/>
      <x:c r="S127" s="138"/>
      <x:c r="T127" s="138"/>
      <x:c r="U127" s="138"/>
      <x:c r="V127" s="138"/>
      <x:c r="W127" s="138"/>
      <x:c r="X127" s="138"/>
      <x:c r="Y127" s="138"/>
      <x:c r="Z127" s="138"/>
    </x:row>
    <x:row r="128">
      <x:c r="A128" s="138"/>
      <x:c r="B128" s="138"/>
      <x:c r="C128" s="138"/>
      <x:c r="D128" s="138"/>
      <x:c r="E128" s="138"/>
      <x:c r="F128" s="138"/>
      <x:c r="G128" s="138"/>
      <x:c r="H128" s="138"/>
      <x:c r="I128" s="138"/>
      <x:c r="J128" s="138"/>
      <x:c r="K128" s="138"/>
      <x:c r="L128" s="138"/>
      <x:c r="M128" s="138"/>
      <x:c r="N128" s="138"/>
      <x:c r="O128" s="138"/>
      <x:c r="P128" s="138"/>
      <x:c r="Q128" s="138"/>
      <x:c r="R128" s="138"/>
      <x:c r="S128" s="138"/>
      <x:c r="T128" s="138"/>
      <x:c r="U128" s="138"/>
      <x:c r="V128" s="138"/>
      <x:c r="W128" s="138"/>
      <x:c r="X128" s="138"/>
      <x:c r="Y128" s="138"/>
      <x:c r="Z128" s="138"/>
    </x:row>
    <x:row r="129">
      <x:c r="A129" s="138"/>
      <x:c r="B129" s="138"/>
      <x:c r="C129" s="138"/>
      <x:c r="D129" s="138"/>
      <x:c r="E129" s="138"/>
      <x:c r="F129" s="138"/>
      <x:c r="G129" s="138"/>
      <x:c r="H129" s="138"/>
      <x:c r="I129" s="138"/>
      <x:c r="J129" s="138"/>
      <x:c r="K129" s="138"/>
      <x:c r="L129" s="138"/>
      <x:c r="M129" s="138"/>
      <x:c r="N129" s="138"/>
      <x:c r="O129" s="138"/>
      <x:c r="P129" s="138"/>
      <x:c r="Q129" s="138"/>
      <x:c r="R129" s="138"/>
      <x:c r="S129" s="138"/>
      <x:c r="T129" s="138"/>
      <x:c r="U129" s="138"/>
      <x:c r="V129" s="138"/>
      <x:c r="W129" s="138"/>
      <x:c r="X129" s="138"/>
      <x:c r="Y129" s="138"/>
      <x:c r="Z129" s="138"/>
    </x:row>
    <x:row r="130">
      <x:c r="A130" s="138"/>
      <x:c r="B130" s="138"/>
      <x:c r="C130" s="138"/>
      <x:c r="D130" s="138"/>
      <x:c r="E130" s="138"/>
      <x:c r="F130" s="138"/>
      <x:c r="G130" s="138"/>
      <x:c r="H130" s="138"/>
      <x:c r="I130" s="138"/>
      <x:c r="J130" s="138"/>
      <x:c r="K130" s="138"/>
      <x:c r="L130" s="138"/>
      <x:c r="M130" s="138"/>
      <x:c r="N130" s="138"/>
      <x:c r="O130" s="138"/>
      <x:c r="P130" s="138"/>
      <x:c r="Q130" s="138"/>
      <x:c r="R130" s="138"/>
      <x:c r="S130" s="138"/>
      <x:c r="T130" s="138"/>
      <x:c r="U130" s="138"/>
      <x:c r="V130" s="138"/>
      <x:c r="W130" s="138"/>
      <x:c r="X130" s="138"/>
      <x:c r="Y130" s="138"/>
      <x:c r="Z130" s="138"/>
    </x:row>
    <x:row r="131">
      <x:c r="A131" s="138"/>
      <x:c r="B131" s="138"/>
      <x:c r="C131" s="138"/>
      <x:c r="D131" s="138"/>
      <x:c r="E131" s="138"/>
      <x:c r="F131" s="138"/>
      <x:c r="G131" s="138"/>
      <x:c r="H131" s="138"/>
      <x:c r="I131" s="138"/>
      <x:c r="J131" s="138"/>
      <x:c r="K131" s="138"/>
      <x:c r="L131" s="138"/>
      <x:c r="M131" s="138"/>
      <x:c r="N131" s="138"/>
      <x:c r="O131" s="138"/>
      <x:c r="P131" s="138"/>
      <x:c r="Q131" s="138"/>
      <x:c r="R131" s="138"/>
      <x:c r="S131" s="138"/>
      <x:c r="T131" s="138"/>
      <x:c r="U131" s="138"/>
      <x:c r="V131" s="138"/>
      <x:c r="W131" s="138"/>
      <x:c r="X131" s="138"/>
      <x:c r="Y131" s="138"/>
      <x:c r="Z131" s="138"/>
    </x:row>
    <x:row r="132">
      <x:c r="A132" s="138"/>
      <x:c r="B132" s="138"/>
      <x:c r="C132" s="138"/>
      <x:c r="D132" s="138"/>
      <x:c r="E132" s="138"/>
      <x:c r="F132" s="138"/>
      <x:c r="G132" s="138"/>
      <x:c r="H132" s="138"/>
      <x:c r="I132" s="138"/>
      <x:c r="J132" s="138"/>
      <x:c r="K132" s="138"/>
      <x:c r="L132" s="138"/>
      <x:c r="M132" s="138"/>
      <x:c r="N132" s="138"/>
      <x:c r="O132" s="138"/>
      <x:c r="P132" s="138"/>
      <x:c r="Q132" s="138"/>
      <x:c r="R132" s="138"/>
      <x:c r="S132" s="138"/>
      <x:c r="T132" s="138"/>
      <x:c r="U132" s="138"/>
      <x:c r="V132" s="138"/>
      <x:c r="W132" s="138"/>
      <x:c r="X132" s="138"/>
      <x:c r="Y132" s="138"/>
      <x:c r="Z132" s="138"/>
    </x:row>
    <x:row r="133">
      <x:c r="A133" s="138"/>
      <x:c r="B133" s="138"/>
      <x:c r="C133" s="138"/>
      <x:c r="D133" s="138"/>
      <x:c r="E133" s="138"/>
      <x:c r="F133" s="138"/>
      <x:c r="G133" s="138"/>
      <x:c r="H133" s="138"/>
      <x:c r="I133" s="138"/>
      <x:c r="J133" s="138"/>
      <x:c r="K133" s="138"/>
      <x:c r="L133" s="138"/>
      <x:c r="M133" s="138"/>
      <x:c r="N133" s="138"/>
      <x:c r="O133" s="138"/>
      <x:c r="P133" s="138"/>
      <x:c r="Q133" s="138"/>
      <x:c r="R133" s="138"/>
      <x:c r="S133" s="138"/>
      <x:c r="T133" s="138"/>
      <x:c r="U133" s="138"/>
      <x:c r="V133" s="138"/>
      <x:c r="W133" s="138"/>
      <x:c r="X133" s="138"/>
      <x:c r="Y133" s="138"/>
      <x:c r="Z133" s="138"/>
    </x:row>
    <x:row r="134">
      <x:c r="A134" s="138"/>
      <x:c r="B134" s="138"/>
      <x:c r="C134" s="138"/>
      <x:c r="D134" s="138"/>
      <x:c r="E134" s="138"/>
      <x:c r="F134" s="138"/>
      <x:c r="G134" s="138"/>
      <x:c r="H134" s="138"/>
      <x:c r="I134" s="138"/>
      <x:c r="J134" s="138"/>
      <x:c r="K134" s="138"/>
      <x:c r="L134" s="138"/>
      <x:c r="M134" s="138"/>
      <x:c r="N134" s="138"/>
      <x:c r="O134" s="138"/>
      <x:c r="P134" s="138"/>
      <x:c r="Q134" s="138"/>
      <x:c r="R134" s="138"/>
      <x:c r="S134" s="138"/>
      <x:c r="T134" s="138"/>
      <x:c r="U134" s="138"/>
      <x:c r="V134" s="138"/>
      <x:c r="W134" s="138"/>
      <x:c r="X134" s="138"/>
      <x:c r="Y134" s="138"/>
      <x:c r="Z134" s="138"/>
    </x:row>
    <x:row r="135">
      <x:c r="A135" s="138"/>
      <x:c r="B135" s="138"/>
      <x:c r="C135" s="138"/>
      <x:c r="D135" s="138"/>
      <x:c r="E135" s="138"/>
      <x:c r="F135" s="138"/>
      <x:c r="G135" s="138"/>
      <x:c r="H135" s="138"/>
      <x:c r="I135" s="138"/>
      <x:c r="J135" s="138"/>
      <x:c r="K135" s="138"/>
      <x:c r="L135" s="138"/>
      <x:c r="M135" s="138"/>
      <x:c r="N135" s="138"/>
      <x:c r="O135" s="138"/>
      <x:c r="P135" s="138"/>
      <x:c r="Q135" s="138"/>
      <x:c r="R135" s="138"/>
      <x:c r="S135" s="138"/>
      <x:c r="T135" s="138"/>
      <x:c r="U135" s="138"/>
      <x:c r="V135" s="138"/>
      <x:c r="W135" s="138"/>
      <x:c r="X135" s="138"/>
      <x:c r="Y135" s="138"/>
      <x:c r="Z135" s="138"/>
    </x:row>
    <x:row r="136">
      <x:c r="A136" s="138"/>
      <x:c r="B136" s="138"/>
      <x:c r="C136" s="138"/>
      <x:c r="D136" s="138"/>
      <x:c r="E136" s="138"/>
      <x:c r="F136" s="138"/>
      <x:c r="G136" s="138"/>
      <x:c r="H136" s="138"/>
      <x:c r="I136" s="138"/>
      <x:c r="J136" s="138"/>
      <x:c r="K136" s="138"/>
      <x:c r="L136" s="138"/>
      <x:c r="M136" s="138"/>
      <x:c r="N136" s="138"/>
      <x:c r="O136" s="138"/>
      <x:c r="P136" s="138"/>
      <x:c r="Q136" s="138"/>
      <x:c r="R136" s="138"/>
      <x:c r="S136" s="138"/>
      <x:c r="T136" s="138"/>
      <x:c r="U136" s="138"/>
      <x:c r="V136" s="138"/>
      <x:c r="W136" s="138"/>
      <x:c r="X136" s="138"/>
      <x:c r="Y136" s="138"/>
      <x:c r="Z136" s="138"/>
    </x:row>
    <x:row r="137">
      <x:c r="A137" s="138"/>
      <x:c r="B137" s="138"/>
      <x:c r="C137" s="138"/>
      <x:c r="D137" s="138"/>
      <x:c r="E137" s="138"/>
      <x:c r="F137" s="138"/>
      <x:c r="G137" s="138"/>
      <x:c r="H137" s="138"/>
      <x:c r="I137" s="138"/>
      <x:c r="J137" s="138"/>
      <x:c r="K137" s="138"/>
      <x:c r="L137" s="138"/>
      <x:c r="M137" s="138"/>
      <x:c r="N137" s="138"/>
      <x:c r="O137" s="138"/>
      <x:c r="P137" s="138"/>
      <x:c r="Q137" s="138"/>
      <x:c r="R137" s="138"/>
      <x:c r="S137" s="138"/>
      <x:c r="T137" s="138"/>
      <x:c r="U137" s="138"/>
      <x:c r="V137" s="138"/>
      <x:c r="W137" s="138"/>
      <x:c r="X137" s="138"/>
      <x:c r="Y137" s="138"/>
      <x:c r="Z137" s="138"/>
    </x:row>
    <x:row r="138">
      <x:c r="A138" s="138"/>
      <x:c r="B138" s="138"/>
      <x:c r="C138" s="138"/>
      <x:c r="D138" s="138"/>
      <x:c r="E138" s="138"/>
      <x:c r="F138" s="138"/>
      <x:c r="G138" s="138"/>
      <x:c r="H138" s="138"/>
      <x:c r="I138" s="138"/>
      <x:c r="J138" s="138"/>
      <x:c r="K138" s="138"/>
      <x:c r="L138" s="138"/>
      <x:c r="M138" s="138"/>
      <x:c r="N138" s="138"/>
      <x:c r="O138" s="138"/>
      <x:c r="P138" s="138"/>
      <x:c r="Q138" s="138"/>
      <x:c r="R138" s="138"/>
      <x:c r="S138" s="138"/>
      <x:c r="T138" s="138"/>
      <x:c r="U138" s="138"/>
      <x:c r="V138" s="138"/>
      <x:c r="W138" s="138"/>
      <x:c r="X138" s="138"/>
      <x:c r="Y138" s="138"/>
      <x:c r="Z138" s="138"/>
    </x:row>
    <x:row r="139">
      <x:c r="A139" s="138"/>
      <x:c r="B139" s="138"/>
      <x:c r="C139" s="138"/>
      <x:c r="D139" s="138"/>
      <x:c r="E139" s="138"/>
      <x:c r="F139" s="138"/>
      <x:c r="G139" s="138"/>
      <x:c r="H139" s="138"/>
      <x:c r="I139" s="138"/>
      <x:c r="J139" s="138"/>
      <x:c r="K139" s="138"/>
      <x:c r="L139" s="138"/>
      <x:c r="M139" s="138"/>
      <x:c r="N139" s="138"/>
      <x:c r="O139" s="138"/>
      <x:c r="P139" s="138"/>
      <x:c r="Q139" s="138"/>
      <x:c r="R139" s="138"/>
      <x:c r="S139" s="138"/>
      <x:c r="T139" s="138"/>
      <x:c r="U139" s="138"/>
      <x:c r="V139" s="138"/>
      <x:c r="W139" s="138"/>
      <x:c r="X139" s="138"/>
      <x:c r="Y139" s="138"/>
      <x:c r="Z139" s="138"/>
    </x:row>
    <x:row r="140">
      <x:c r="A140" s="138"/>
      <x:c r="B140" s="138"/>
      <x:c r="C140" s="138"/>
      <x:c r="D140" s="138"/>
      <x:c r="E140" s="138"/>
      <x:c r="F140" s="138"/>
      <x:c r="G140" s="138"/>
      <x:c r="H140" s="138"/>
      <x:c r="I140" s="138"/>
      <x:c r="J140" s="138"/>
      <x:c r="K140" s="138"/>
      <x:c r="L140" s="138"/>
      <x:c r="M140" s="138"/>
      <x:c r="N140" s="138"/>
      <x:c r="O140" s="138"/>
      <x:c r="P140" s="138"/>
      <x:c r="Q140" s="138"/>
      <x:c r="R140" s="138"/>
      <x:c r="S140" s="138"/>
      <x:c r="T140" s="138"/>
      <x:c r="U140" s="138"/>
      <x:c r="V140" s="138"/>
      <x:c r="W140" s="138"/>
      <x:c r="X140" s="138"/>
      <x:c r="Y140" s="138"/>
      <x:c r="Z140" s="138"/>
    </x:row>
    <x:row r="141">
      <x:c r="A141" s="138"/>
      <x:c r="B141" s="138"/>
      <x:c r="C141" s="138"/>
      <x:c r="D141" s="138"/>
      <x:c r="E141" s="138"/>
      <x:c r="F141" s="138"/>
      <x:c r="G141" s="138"/>
      <x:c r="H141" s="138"/>
      <x:c r="I141" s="138"/>
      <x:c r="J141" s="138"/>
      <x:c r="K141" s="138"/>
      <x:c r="L141" s="138"/>
      <x:c r="M141" s="138"/>
      <x:c r="N141" s="138"/>
      <x:c r="O141" s="138"/>
      <x:c r="P141" s="138"/>
      <x:c r="Q141" s="138"/>
      <x:c r="R141" s="138"/>
      <x:c r="S141" s="138"/>
      <x:c r="T141" s="138"/>
      <x:c r="U141" s="138"/>
      <x:c r="V141" s="138"/>
      <x:c r="W141" s="138"/>
      <x:c r="X141" s="138"/>
      <x:c r="Y141" s="138"/>
      <x:c r="Z141" s="138"/>
    </x:row>
    <x:row r="142">
      <x:c r="A142" s="138"/>
      <x:c r="B142" s="138"/>
      <x:c r="C142" s="138"/>
      <x:c r="D142" s="138"/>
      <x:c r="E142" s="138"/>
      <x:c r="F142" s="138"/>
      <x:c r="G142" s="138"/>
      <x:c r="H142" s="138"/>
      <x:c r="I142" s="138"/>
      <x:c r="J142" s="138"/>
      <x:c r="K142" s="138"/>
      <x:c r="L142" s="138"/>
      <x:c r="M142" s="138"/>
      <x:c r="N142" s="138"/>
      <x:c r="O142" s="138"/>
      <x:c r="P142" s="138"/>
      <x:c r="Q142" s="138"/>
      <x:c r="R142" s="138"/>
      <x:c r="S142" s="138"/>
      <x:c r="T142" s="138"/>
      <x:c r="U142" s="138"/>
      <x:c r="V142" s="138"/>
      <x:c r="W142" s="138"/>
      <x:c r="X142" s="138"/>
      <x:c r="Y142" s="138"/>
      <x:c r="Z142" s="138"/>
    </x:row>
    <x:row r="143">
      <x:c r="A143" s="138"/>
      <x:c r="B143" s="138"/>
      <x:c r="C143" s="138"/>
      <x:c r="D143" s="138"/>
      <x:c r="E143" s="138"/>
      <x:c r="F143" s="138"/>
      <x:c r="G143" s="138"/>
      <x:c r="H143" s="138"/>
      <x:c r="I143" s="138"/>
      <x:c r="J143" s="138"/>
      <x:c r="K143" s="138"/>
      <x:c r="L143" s="138"/>
      <x:c r="M143" s="138"/>
      <x:c r="N143" s="138"/>
      <x:c r="O143" s="138"/>
      <x:c r="P143" s="138"/>
      <x:c r="Q143" s="138"/>
      <x:c r="R143" s="138"/>
      <x:c r="S143" s="138"/>
      <x:c r="T143" s="138"/>
      <x:c r="U143" s="138"/>
      <x:c r="V143" s="138"/>
      <x:c r="W143" s="138"/>
      <x:c r="X143" s="138"/>
      <x:c r="Y143" s="138"/>
      <x:c r="Z143" s="138"/>
    </x:row>
    <x:row r="144">
      <x:c r="A144" s="138"/>
      <x:c r="B144" s="138"/>
      <x:c r="C144" s="138"/>
      <x:c r="D144" s="138"/>
      <x:c r="E144" s="138"/>
      <x:c r="F144" s="138"/>
      <x:c r="G144" s="138"/>
      <x:c r="H144" s="138"/>
      <x:c r="I144" s="138"/>
      <x:c r="J144" s="138"/>
      <x:c r="K144" s="138"/>
      <x:c r="L144" s="138"/>
      <x:c r="M144" s="138"/>
      <x:c r="N144" s="138"/>
      <x:c r="O144" s="138"/>
      <x:c r="P144" s="138"/>
      <x:c r="Q144" s="138"/>
      <x:c r="R144" s="138"/>
      <x:c r="S144" s="138"/>
      <x:c r="T144" s="138"/>
      <x:c r="U144" s="138"/>
      <x:c r="V144" s="138"/>
      <x:c r="W144" s="138"/>
      <x:c r="X144" s="138"/>
      <x:c r="Y144" s="138"/>
      <x:c r="Z144" s="138"/>
    </x:row>
    <x:row r="145">
      <x:c r="A145" s="138"/>
      <x:c r="B145" s="138"/>
      <x:c r="C145" s="138"/>
      <x:c r="D145" s="138"/>
      <x:c r="E145" s="138"/>
      <x:c r="F145" s="138"/>
      <x:c r="G145" s="138"/>
      <x:c r="H145" s="138"/>
      <x:c r="I145" s="138"/>
      <x:c r="J145" s="138"/>
      <x:c r="K145" s="138"/>
      <x:c r="L145" s="138"/>
      <x:c r="M145" s="138"/>
      <x:c r="N145" s="138"/>
      <x:c r="O145" s="138"/>
      <x:c r="P145" s="138"/>
      <x:c r="Q145" s="138"/>
      <x:c r="R145" s="138"/>
      <x:c r="S145" s="138"/>
      <x:c r="T145" s="138"/>
      <x:c r="U145" s="138"/>
      <x:c r="V145" s="138"/>
      <x:c r="W145" s="138"/>
      <x:c r="X145" s="138"/>
      <x:c r="Y145" s="138"/>
      <x:c r="Z145" s="138"/>
    </x:row>
    <x:row r="146">
      <x:c r="A146" s="138"/>
      <x:c r="B146" s="138"/>
      <x:c r="C146" s="138"/>
      <x:c r="D146" s="138"/>
      <x:c r="E146" s="138"/>
      <x:c r="F146" s="138"/>
      <x:c r="G146" s="138"/>
      <x:c r="H146" s="138"/>
      <x:c r="I146" s="138"/>
      <x:c r="J146" s="138"/>
      <x:c r="K146" s="138"/>
      <x:c r="L146" s="138"/>
      <x:c r="M146" s="138"/>
      <x:c r="N146" s="138"/>
      <x:c r="O146" s="138"/>
      <x:c r="P146" s="138"/>
      <x:c r="Q146" s="138"/>
      <x:c r="R146" s="138"/>
      <x:c r="S146" s="138"/>
      <x:c r="T146" s="138"/>
      <x:c r="U146" s="138"/>
      <x:c r="V146" s="138"/>
      <x:c r="W146" s="138"/>
      <x:c r="X146" s="138"/>
      <x:c r="Y146" s="138"/>
      <x:c r="Z146" s="138"/>
    </x:row>
    <x:row r="147">
      <x:c r="A147" s="138"/>
      <x:c r="B147" s="138"/>
      <x:c r="C147" s="138"/>
      <x:c r="D147" s="138"/>
      <x:c r="E147" s="138"/>
      <x:c r="F147" s="138"/>
      <x:c r="G147" s="138"/>
      <x:c r="H147" s="138"/>
      <x:c r="I147" s="138"/>
      <x:c r="J147" s="138"/>
      <x:c r="K147" s="138"/>
      <x:c r="L147" s="138"/>
      <x:c r="M147" s="138"/>
      <x:c r="N147" s="138"/>
      <x:c r="O147" s="138"/>
      <x:c r="P147" s="138"/>
      <x:c r="Q147" s="138"/>
      <x:c r="R147" s="138"/>
      <x:c r="S147" s="138"/>
      <x:c r="T147" s="138"/>
      <x:c r="U147" s="138"/>
      <x:c r="V147" s="138"/>
      <x:c r="W147" s="138"/>
      <x:c r="X147" s="138"/>
      <x:c r="Y147" s="138"/>
      <x:c r="Z147" s="138"/>
    </x:row>
    <x:row r="148">
      <x:c r="A148" s="138"/>
      <x:c r="B148" s="138"/>
      <x:c r="C148" s="138"/>
      <x:c r="D148" s="138"/>
      <x:c r="E148" s="138"/>
      <x:c r="F148" s="138"/>
      <x:c r="G148" s="138"/>
      <x:c r="H148" s="138"/>
      <x:c r="I148" s="138"/>
      <x:c r="J148" s="138"/>
      <x:c r="K148" s="138"/>
      <x:c r="L148" s="138"/>
      <x:c r="M148" s="138"/>
      <x:c r="N148" s="138"/>
      <x:c r="O148" s="138"/>
      <x:c r="P148" s="138"/>
      <x:c r="Q148" s="138"/>
      <x:c r="R148" s="138"/>
      <x:c r="S148" s="138"/>
      <x:c r="T148" s="138"/>
      <x:c r="U148" s="138"/>
      <x:c r="V148" s="138"/>
      <x:c r="W148" s="138"/>
      <x:c r="X148" s="138"/>
      <x:c r="Y148" s="138"/>
      <x:c r="Z148" s="138"/>
    </x:row>
    <x:row r="149">
      <x:c r="A149" s="138"/>
      <x:c r="B149" s="138"/>
      <x:c r="C149" s="138"/>
      <x:c r="D149" s="138"/>
      <x:c r="E149" s="138"/>
      <x:c r="F149" s="138"/>
      <x:c r="G149" s="138"/>
      <x:c r="H149" s="138"/>
      <x:c r="I149" s="138"/>
      <x:c r="J149" s="138"/>
      <x:c r="K149" s="138"/>
      <x:c r="L149" s="138"/>
      <x:c r="M149" s="138"/>
      <x:c r="N149" s="138"/>
      <x:c r="O149" s="138"/>
      <x:c r="P149" s="138"/>
      <x:c r="Q149" s="138"/>
      <x:c r="R149" s="138"/>
      <x:c r="S149" s="138"/>
      <x:c r="T149" s="138"/>
      <x:c r="U149" s="138"/>
      <x:c r="V149" s="138"/>
      <x:c r="W149" s="138"/>
      <x:c r="X149" s="138"/>
      <x:c r="Y149" s="138"/>
      <x:c r="Z149" s="138"/>
    </x:row>
    <x:row r="150">
      <x:c r="A150" s="138"/>
      <x:c r="B150" s="138"/>
      <x:c r="C150" s="138"/>
      <x:c r="D150" s="138"/>
      <x:c r="E150" s="138"/>
      <x:c r="F150" s="138"/>
      <x:c r="G150" s="138"/>
      <x:c r="H150" s="138"/>
      <x:c r="I150" s="138"/>
      <x:c r="J150" s="138"/>
      <x:c r="K150" s="138"/>
      <x:c r="L150" s="138"/>
      <x:c r="M150" s="138"/>
      <x:c r="N150" s="138"/>
      <x:c r="O150" s="138"/>
      <x:c r="P150" s="138"/>
      <x:c r="Q150" s="138"/>
      <x:c r="R150" s="138"/>
      <x:c r="S150" s="138"/>
      <x:c r="T150" s="138"/>
      <x:c r="U150" s="138"/>
      <x:c r="V150" s="138"/>
      <x:c r="W150" s="138"/>
      <x:c r="X150" s="138"/>
      <x:c r="Y150" s="138"/>
      <x:c r="Z150" s="138"/>
    </x:row>
    <x:row r="151">
      <x:c r="A151" s="138"/>
      <x:c r="B151" s="138"/>
      <x:c r="C151" s="138"/>
      <x:c r="D151" s="138"/>
      <x:c r="E151" s="138"/>
      <x:c r="F151" s="138"/>
      <x:c r="G151" s="138"/>
      <x:c r="H151" s="138"/>
      <x:c r="I151" s="138"/>
      <x:c r="J151" s="138"/>
      <x:c r="K151" s="138"/>
      <x:c r="L151" s="138"/>
      <x:c r="M151" s="138"/>
      <x:c r="N151" s="138"/>
      <x:c r="O151" s="138"/>
      <x:c r="P151" s="138"/>
      <x:c r="Q151" s="138"/>
      <x:c r="R151" s="138"/>
      <x:c r="S151" s="138"/>
      <x:c r="T151" s="138"/>
      <x:c r="U151" s="138"/>
      <x:c r="V151" s="138"/>
      <x:c r="W151" s="138"/>
      <x:c r="X151" s="138"/>
      <x:c r="Y151" s="138"/>
      <x:c r="Z151" s="138"/>
    </x:row>
    <x:row r="152">
      <x:c r="A152" s="138"/>
      <x:c r="B152" s="138"/>
      <x:c r="C152" s="138"/>
      <x:c r="D152" s="138"/>
      <x:c r="E152" s="138"/>
      <x:c r="F152" s="138"/>
      <x:c r="G152" s="138"/>
      <x:c r="H152" s="138"/>
      <x:c r="I152" s="138"/>
      <x:c r="J152" s="138"/>
      <x:c r="K152" s="138"/>
      <x:c r="L152" s="138"/>
      <x:c r="M152" s="138"/>
      <x:c r="N152" s="138"/>
      <x:c r="O152" s="138"/>
      <x:c r="P152" s="138"/>
      <x:c r="Q152" s="138"/>
      <x:c r="R152" s="138"/>
      <x:c r="S152" s="138"/>
      <x:c r="T152" s="138"/>
      <x:c r="U152" s="138"/>
      <x:c r="V152" s="138"/>
      <x:c r="W152" s="138"/>
      <x:c r="X152" s="138"/>
      <x:c r="Y152" s="138"/>
      <x:c r="Z152" s="138"/>
    </x:row>
    <x:row r="153">
      <x:c r="A153" s="138"/>
      <x:c r="B153" s="138"/>
      <x:c r="C153" s="138"/>
      <x:c r="D153" s="138"/>
      <x:c r="E153" s="138"/>
      <x:c r="F153" s="138"/>
      <x:c r="G153" s="138"/>
      <x:c r="H153" s="138"/>
      <x:c r="I153" s="138"/>
      <x:c r="J153" s="138"/>
      <x:c r="K153" s="138"/>
      <x:c r="L153" s="138"/>
      <x:c r="M153" s="138"/>
      <x:c r="N153" s="138"/>
      <x:c r="O153" s="138"/>
      <x:c r="P153" s="138"/>
      <x:c r="Q153" s="138"/>
      <x:c r="R153" s="138"/>
      <x:c r="S153" s="138"/>
      <x:c r="T153" s="138"/>
      <x:c r="U153" s="138"/>
      <x:c r="V153" s="138"/>
      <x:c r="W153" s="138"/>
      <x:c r="X153" s="138"/>
      <x:c r="Y153" s="138"/>
      <x:c r="Z153" s="138"/>
    </x:row>
    <x:row r="154">
      <x:c r="A154" s="138"/>
      <x:c r="B154" s="138"/>
      <x:c r="C154" s="138"/>
      <x:c r="D154" s="138"/>
      <x:c r="E154" s="138"/>
      <x:c r="F154" s="138"/>
      <x:c r="G154" s="138"/>
      <x:c r="H154" s="138"/>
      <x:c r="I154" s="138"/>
      <x:c r="J154" s="138"/>
      <x:c r="K154" s="138"/>
      <x:c r="L154" s="138"/>
      <x:c r="M154" s="138"/>
      <x:c r="N154" s="138"/>
      <x:c r="O154" s="138"/>
      <x:c r="P154" s="138"/>
      <x:c r="Q154" s="138"/>
      <x:c r="R154" s="138"/>
      <x:c r="S154" s="138"/>
      <x:c r="T154" s="138"/>
      <x:c r="U154" s="138"/>
      <x:c r="V154" s="138"/>
      <x:c r="W154" s="138"/>
      <x:c r="X154" s="138"/>
      <x:c r="Y154" s="138"/>
      <x:c r="Z154" s="138"/>
    </x:row>
    <x:row r="155">
      <x:c r="A155" s="138"/>
      <x:c r="B155" s="138"/>
      <x:c r="C155" s="138"/>
      <x:c r="D155" s="138"/>
      <x:c r="E155" s="138"/>
      <x:c r="F155" s="138"/>
      <x:c r="G155" s="138"/>
      <x:c r="H155" s="138"/>
      <x:c r="I155" s="138"/>
      <x:c r="J155" s="138"/>
      <x:c r="K155" s="138"/>
      <x:c r="L155" s="138"/>
      <x:c r="M155" s="138"/>
      <x:c r="N155" s="138"/>
      <x:c r="O155" s="138"/>
      <x:c r="P155" s="138"/>
      <x:c r="Q155" s="138"/>
      <x:c r="R155" s="138"/>
      <x:c r="S155" s="138"/>
      <x:c r="T155" s="138"/>
      <x:c r="U155" s="138"/>
      <x:c r="V155" s="138"/>
      <x:c r="W155" s="138"/>
      <x:c r="X155" s="138"/>
      <x:c r="Y155" s="138"/>
      <x:c r="Z155" s="138"/>
    </x:row>
    <x:row r="156">
      <x:c r="A156" s="138"/>
      <x:c r="B156" s="138"/>
      <x:c r="C156" s="138"/>
      <x:c r="D156" s="138"/>
      <x:c r="E156" s="138"/>
      <x:c r="F156" s="138"/>
      <x:c r="G156" s="138"/>
      <x:c r="H156" s="138"/>
      <x:c r="I156" s="138"/>
      <x:c r="J156" s="138"/>
      <x:c r="K156" s="138"/>
      <x:c r="L156" s="138"/>
      <x:c r="M156" s="138"/>
      <x:c r="N156" s="138"/>
      <x:c r="O156" s="138"/>
      <x:c r="P156" s="138"/>
      <x:c r="Q156" s="138"/>
      <x:c r="R156" s="138"/>
      <x:c r="S156" s="138"/>
      <x:c r="T156" s="138"/>
      <x:c r="U156" s="138"/>
      <x:c r="V156" s="138"/>
      <x:c r="W156" s="138"/>
      <x:c r="X156" s="138"/>
      <x:c r="Y156" s="138"/>
      <x:c r="Z156" s="138"/>
    </x:row>
    <x:row r="157">
      <x:c r="A157" s="138"/>
      <x:c r="B157" s="138"/>
      <x:c r="C157" s="138"/>
      <x:c r="D157" s="138"/>
      <x:c r="E157" s="138"/>
      <x:c r="F157" s="138"/>
      <x:c r="G157" s="138"/>
      <x:c r="H157" s="138"/>
      <x:c r="I157" s="138"/>
      <x:c r="J157" s="138"/>
      <x:c r="K157" s="138"/>
      <x:c r="L157" s="138"/>
      <x:c r="M157" s="138"/>
      <x:c r="N157" s="138"/>
      <x:c r="O157" s="138"/>
      <x:c r="P157" s="138"/>
      <x:c r="Q157" s="138"/>
      <x:c r="R157" s="138"/>
      <x:c r="S157" s="138"/>
      <x:c r="T157" s="138"/>
      <x:c r="U157" s="138"/>
      <x:c r="V157" s="138"/>
      <x:c r="W157" s="138"/>
      <x:c r="X157" s="138"/>
      <x:c r="Y157" s="138"/>
      <x:c r="Z157" s="138"/>
    </x:row>
    <x:row r="158">
      <x:c r="A158" s="138"/>
      <x:c r="B158" s="138"/>
      <x:c r="C158" s="138"/>
      <x:c r="D158" s="138"/>
      <x:c r="E158" s="138"/>
      <x:c r="F158" s="138"/>
      <x:c r="G158" s="138"/>
      <x:c r="H158" s="138"/>
      <x:c r="I158" s="138"/>
      <x:c r="J158" s="138"/>
      <x:c r="K158" s="138"/>
      <x:c r="L158" s="138"/>
      <x:c r="M158" s="138"/>
      <x:c r="N158" s="138"/>
      <x:c r="O158" s="138"/>
      <x:c r="P158" s="138"/>
      <x:c r="Q158" s="138"/>
      <x:c r="R158" s="138"/>
      <x:c r="S158" s="138"/>
      <x:c r="T158" s="138"/>
      <x:c r="U158" s="138"/>
      <x:c r="V158" s="138"/>
      <x:c r="W158" s="138"/>
      <x:c r="X158" s="138"/>
      <x:c r="Y158" s="138"/>
      <x:c r="Z158" s="138"/>
    </x:row>
    <x:row r="159">
      <x:c r="A159" s="138"/>
      <x:c r="B159" s="138"/>
      <x:c r="C159" s="138"/>
      <x:c r="D159" s="138"/>
      <x:c r="E159" s="138"/>
      <x:c r="F159" s="138"/>
      <x:c r="G159" s="138"/>
      <x:c r="H159" s="138"/>
      <x:c r="I159" s="138"/>
      <x:c r="J159" s="138"/>
      <x:c r="K159" s="138"/>
      <x:c r="L159" s="138"/>
      <x:c r="M159" s="138"/>
      <x:c r="N159" s="138"/>
      <x:c r="O159" s="138"/>
      <x:c r="P159" s="138"/>
      <x:c r="Q159" s="138"/>
      <x:c r="R159" s="138"/>
      <x:c r="S159" s="138"/>
      <x:c r="T159" s="138"/>
      <x:c r="U159" s="138"/>
      <x:c r="V159" s="138"/>
      <x:c r="W159" s="138"/>
      <x:c r="X159" s="138"/>
      <x:c r="Y159" s="138"/>
      <x:c r="Z159" s="138"/>
    </x:row>
    <x:row r="160">
      <x:c r="A160" s="138"/>
      <x:c r="B160" s="138"/>
      <x:c r="C160" s="138"/>
      <x:c r="D160" s="138"/>
      <x:c r="E160" s="138"/>
      <x:c r="F160" s="138"/>
      <x:c r="G160" s="138"/>
      <x:c r="H160" s="138"/>
      <x:c r="I160" s="138"/>
      <x:c r="J160" s="138"/>
      <x:c r="K160" s="138"/>
      <x:c r="L160" s="138"/>
      <x:c r="M160" s="138"/>
      <x:c r="N160" s="138"/>
      <x:c r="O160" s="138"/>
      <x:c r="P160" s="138"/>
      <x:c r="Q160" s="138"/>
      <x:c r="R160" s="138"/>
      <x:c r="S160" s="138"/>
      <x:c r="T160" s="138"/>
      <x:c r="U160" s="138"/>
      <x:c r="V160" s="138"/>
      <x:c r="W160" s="138"/>
      <x:c r="X160" s="138"/>
      <x:c r="Y160" s="138"/>
      <x:c r="Z160" s="138"/>
    </x:row>
    <x:row r="161">
      <x:c r="A161" s="138"/>
      <x:c r="B161" s="138"/>
      <x:c r="C161" s="138"/>
      <x:c r="D161" s="138"/>
      <x:c r="E161" s="138"/>
      <x:c r="F161" s="138"/>
      <x:c r="G161" s="138"/>
      <x:c r="H161" s="138"/>
      <x:c r="I161" s="138"/>
      <x:c r="J161" s="138"/>
      <x:c r="K161" s="138"/>
      <x:c r="L161" s="138"/>
      <x:c r="M161" s="138"/>
      <x:c r="N161" s="138"/>
      <x:c r="O161" s="138"/>
      <x:c r="P161" s="138"/>
      <x:c r="Q161" s="138"/>
      <x:c r="R161" s="138"/>
      <x:c r="S161" s="138"/>
      <x:c r="T161" s="138"/>
      <x:c r="U161" s="138"/>
      <x:c r="V161" s="138"/>
      <x:c r="W161" s="138"/>
      <x:c r="X161" s="138"/>
      <x:c r="Y161" s="138"/>
      <x:c r="Z161" s="138"/>
    </x:row>
    <x:row r="162">
      <x:c r="A162" s="138"/>
      <x:c r="B162" s="138"/>
      <x:c r="C162" s="138"/>
      <x:c r="D162" s="138"/>
      <x:c r="E162" s="138"/>
      <x:c r="F162" s="138"/>
      <x:c r="G162" s="138"/>
      <x:c r="H162" s="138"/>
      <x:c r="I162" s="138"/>
      <x:c r="J162" s="138"/>
      <x:c r="K162" s="138"/>
      <x:c r="L162" s="138"/>
      <x:c r="M162" s="138"/>
      <x:c r="N162" s="138"/>
      <x:c r="O162" s="138"/>
      <x:c r="P162" s="138"/>
      <x:c r="Q162" s="138"/>
      <x:c r="R162" s="138"/>
      <x:c r="S162" s="138"/>
      <x:c r="T162" s="138"/>
      <x:c r="U162" s="138"/>
      <x:c r="V162" s="138"/>
      <x:c r="W162" s="138"/>
      <x:c r="X162" s="138"/>
      <x:c r="Y162" s="138"/>
      <x:c r="Z162" s="138"/>
    </x:row>
    <x:row r="163">
      <x:c r="A163" s="138"/>
      <x:c r="B163" s="138"/>
      <x:c r="C163" s="138"/>
      <x:c r="D163" s="138"/>
      <x:c r="E163" s="138"/>
      <x:c r="F163" s="138"/>
      <x:c r="G163" s="138"/>
      <x:c r="H163" s="138"/>
      <x:c r="I163" s="138"/>
      <x:c r="J163" s="138"/>
      <x:c r="K163" s="138"/>
      <x:c r="L163" s="138"/>
      <x:c r="M163" s="138"/>
      <x:c r="N163" s="138"/>
      <x:c r="O163" s="138"/>
      <x:c r="P163" s="138"/>
      <x:c r="Q163" s="138"/>
      <x:c r="R163" s="138"/>
      <x:c r="S163" s="138"/>
      <x:c r="T163" s="138"/>
      <x:c r="U163" s="138"/>
      <x:c r="V163" s="138"/>
      <x:c r="W163" s="138"/>
      <x:c r="X163" s="138"/>
      <x:c r="Y163" s="138"/>
      <x:c r="Z163" s="138"/>
    </x:row>
    <x:row r="164">
      <x:c r="A164" s="138"/>
      <x:c r="B164" s="138"/>
      <x:c r="C164" s="138"/>
      <x:c r="D164" s="138"/>
      <x:c r="E164" s="138"/>
      <x:c r="F164" s="138"/>
      <x:c r="G164" s="138"/>
      <x:c r="H164" s="138"/>
      <x:c r="I164" s="138"/>
      <x:c r="J164" s="138"/>
      <x:c r="K164" s="138"/>
      <x:c r="L164" s="138"/>
      <x:c r="M164" s="138"/>
      <x:c r="N164" s="138"/>
      <x:c r="O164" s="138"/>
      <x:c r="P164" s="138"/>
      <x:c r="Q164" s="138"/>
      <x:c r="R164" s="138"/>
      <x:c r="S164" s="138"/>
      <x:c r="T164" s="138"/>
      <x:c r="U164" s="138"/>
      <x:c r="V164" s="138"/>
      <x:c r="W164" s="138"/>
      <x:c r="X164" s="138"/>
      <x:c r="Y164" s="138"/>
      <x:c r="Z164" s="138"/>
    </x:row>
    <x:row r="165">
      <x:c r="A165" s="138"/>
      <x:c r="B165" s="138"/>
      <x:c r="C165" s="138"/>
      <x:c r="D165" s="138"/>
      <x:c r="E165" s="138"/>
      <x:c r="F165" s="138"/>
      <x:c r="G165" s="138"/>
      <x:c r="H165" s="138"/>
      <x:c r="I165" s="138"/>
      <x:c r="J165" s="138"/>
      <x:c r="K165" s="138"/>
      <x:c r="L165" s="138"/>
      <x:c r="M165" s="138"/>
      <x:c r="N165" s="138"/>
      <x:c r="O165" s="138"/>
      <x:c r="P165" s="138"/>
      <x:c r="Q165" s="138"/>
      <x:c r="R165" s="138"/>
      <x:c r="S165" s="138"/>
      <x:c r="T165" s="138"/>
      <x:c r="U165" s="138"/>
      <x:c r="V165" s="138"/>
      <x:c r="W165" s="138"/>
      <x:c r="X165" s="138"/>
      <x:c r="Y165" s="138"/>
      <x:c r="Z165" s="138"/>
    </x:row>
    <x:row r="166">
      <x:c r="A166" s="138"/>
      <x:c r="B166" s="138"/>
      <x:c r="C166" s="138"/>
      <x:c r="D166" s="138"/>
      <x:c r="E166" s="138"/>
      <x:c r="F166" s="138"/>
      <x:c r="G166" s="138"/>
      <x:c r="H166" s="138"/>
      <x:c r="I166" s="138"/>
      <x:c r="J166" s="138"/>
      <x:c r="K166" s="138"/>
      <x:c r="L166" s="138"/>
      <x:c r="M166" s="138"/>
      <x:c r="N166" s="138"/>
      <x:c r="O166" s="138"/>
      <x:c r="P166" s="138"/>
      <x:c r="Q166" s="138"/>
      <x:c r="R166" s="138"/>
      <x:c r="S166" s="138"/>
      <x:c r="T166" s="138"/>
      <x:c r="U166" s="138"/>
      <x:c r="V166" s="138"/>
      <x:c r="W166" s="138"/>
      <x:c r="X166" s="138"/>
      <x:c r="Y166" s="138"/>
      <x:c r="Z166" s="138"/>
    </x:row>
    <x:row r="167">
      <x:c r="A167" s="138"/>
      <x:c r="B167" s="138"/>
      <x:c r="C167" s="138"/>
      <x:c r="D167" s="138"/>
      <x:c r="E167" s="138"/>
      <x:c r="F167" s="138"/>
      <x:c r="G167" s="138"/>
      <x:c r="H167" s="138"/>
      <x:c r="I167" s="138"/>
      <x:c r="J167" s="138"/>
      <x:c r="K167" s="138"/>
      <x:c r="L167" s="138"/>
      <x:c r="M167" s="138"/>
      <x:c r="N167" s="138"/>
      <x:c r="O167" s="138"/>
      <x:c r="P167" s="138"/>
      <x:c r="Q167" s="138"/>
      <x:c r="R167" s="138"/>
      <x:c r="S167" s="138"/>
      <x:c r="T167" s="138"/>
      <x:c r="U167" s="138"/>
      <x:c r="V167" s="138"/>
      <x:c r="W167" s="138"/>
      <x:c r="X167" s="138"/>
      <x:c r="Y167" s="138"/>
      <x:c r="Z167" s="138"/>
    </x:row>
    <x:row r="168">
      <x:c r="A168" s="138"/>
      <x:c r="B168" s="138"/>
      <x:c r="C168" s="138"/>
      <x:c r="D168" s="138"/>
      <x:c r="E168" s="138"/>
      <x:c r="F168" s="138"/>
      <x:c r="G168" s="138"/>
      <x:c r="H168" s="138"/>
      <x:c r="I168" s="138"/>
      <x:c r="J168" s="138"/>
      <x:c r="K168" s="138"/>
      <x:c r="L168" s="138"/>
      <x:c r="M168" s="138"/>
      <x:c r="N168" s="138"/>
      <x:c r="O168" s="138"/>
      <x:c r="P168" s="138"/>
      <x:c r="Q168" s="138"/>
      <x:c r="R168" s="138"/>
      <x:c r="S168" s="138"/>
      <x:c r="T168" s="138"/>
      <x:c r="U168" s="138"/>
      <x:c r="V168" s="138"/>
      <x:c r="W168" s="138"/>
      <x:c r="X168" s="138"/>
      <x:c r="Y168" s="138"/>
      <x:c r="Z168" s="138"/>
    </x:row>
    <x:row r="169">
      <x:c r="A169" s="138"/>
      <x:c r="B169" s="138"/>
      <x:c r="C169" s="138"/>
      <x:c r="D169" s="138"/>
      <x:c r="E169" s="138"/>
      <x:c r="F169" s="138"/>
      <x:c r="G169" s="138"/>
      <x:c r="H169" s="138"/>
      <x:c r="I169" s="138"/>
      <x:c r="J169" s="138"/>
      <x:c r="K169" s="138"/>
      <x:c r="L169" s="138"/>
      <x:c r="M169" s="138"/>
      <x:c r="N169" s="138"/>
      <x:c r="O169" s="138"/>
      <x:c r="P169" s="138"/>
      <x:c r="Q169" s="138"/>
      <x:c r="R169" s="138"/>
      <x:c r="S169" s="138"/>
      <x:c r="T169" s="138"/>
      <x:c r="U169" s="138"/>
      <x:c r="V169" s="138"/>
      <x:c r="W169" s="138"/>
      <x:c r="X169" s="138"/>
      <x:c r="Y169" s="138"/>
      <x:c r="Z169" s="138"/>
    </x:row>
    <x:row r="170">
      <x:c r="A170" s="138"/>
      <x:c r="B170" s="138"/>
      <x:c r="C170" s="138"/>
      <x:c r="D170" s="138"/>
      <x:c r="E170" s="138"/>
      <x:c r="F170" s="138"/>
      <x:c r="G170" s="138"/>
      <x:c r="H170" s="138"/>
      <x:c r="I170" s="138"/>
      <x:c r="J170" s="138"/>
      <x:c r="K170" s="138"/>
      <x:c r="L170" s="138"/>
      <x:c r="M170" s="138"/>
      <x:c r="N170" s="138"/>
      <x:c r="O170" s="138"/>
      <x:c r="P170" s="138"/>
      <x:c r="Q170" s="138"/>
      <x:c r="R170" s="138"/>
      <x:c r="S170" s="138"/>
      <x:c r="T170" s="138"/>
      <x:c r="U170" s="138"/>
      <x:c r="V170" s="138"/>
      <x:c r="W170" s="138"/>
      <x:c r="X170" s="138"/>
      <x:c r="Y170" s="138"/>
      <x:c r="Z170" s="138"/>
    </x:row>
    <x:row r="171">
      <x:c r="A171" s="138"/>
      <x:c r="B171" s="138"/>
      <x:c r="C171" s="138"/>
      <x:c r="D171" s="138"/>
      <x:c r="E171" s="138"/>
      <x:c r="F171" s="138"/>
      <x:c r="G171" s="138"/>
      <x:c r="H171" s="138"/>
      <x:c r="I171" s="138"/>
      <x:c r="J171" s="138"/>
      <x:c r="K171" s="138"/>
      <x:c r="L171" s="138"/>
      <x:c r="M171" s="138"/>
      <x:c r="N171" s="138"/>
      <x:c r="O171" s="138"/>
      <x:c r="P171" s="138"/>
      <x:c r="Q171" s="138"/>
      <x:c r="R171" s="138"/>
      <x:c r="S171" s="138"/>
      <x:c r="T171" s="138"/>
      <x:c r="U171" s="138"/>
      <x:c r="V171" s="138"/>
      <x:c r="W171" s="138"/>
      <x:c r="X171" s="138"/>
      <x:c r="Y171" s="138"/>
      <x:c r="Z171" s="138"/>
    </x:row>
    <x:row r="172">
      <x:c r="A172" s="138"/>
      <x:c r="B172" s="138"/>
      <x:c r="C172" s="138"/>
      <x:c r="D172" s="138"/>
      <x:c r="E172" s="138"/>
      <x:c r="F172" s="138"/>
      <x:c r="G172" s="138"/>
      <x:c r="H172" s="138"/>
      <x:c r="I172" s="138"/>
      <x:c r="J172" s="138"/>
      <x:c r="K172" s="138"/>
      <x:c r="L172" s="138"/>
      <x:c r="M172" s="138"/>
      <x:c r="N172" s="138"/>
      <x:c r="O172" s="138"/>
      <x:c r="P172" s="138"/>
      <x:c r="Q172" s="138"/>
      <x:c r="R172" s="138"/>
      <x:c r="S172" s="138"/>
      <x:c r="T172" s="138"/>
      <x:c r="U172" s="138"/>
      <x:c r="V172" s="138"/>
      <x:c r="W172" s="138"/>
      <x:c r="X172" s="138"/>
      <x:c r="Y172" s="138"/>
      <x:c r="Z172" s="138"/>
    </x:row>
    <x:row r="173">
      <x:c r="A173" s="138"/>
      <x:c r="B173" s="138"/>
      <x:c r="C173" s="138"/>
      <x:c r="D173" s="138"/>
      <x:c r="E173" s="138"/>
      <x:c r="F173" s="138"/>
      <x:c r="G173" s="138"/>
      <x:c r="H173" s="138"/>
      <x:c r="I173" s="138"/>
      <x:c r="J173" s="138"/>
      <x:c r="K173" s="138"/>
      <x:c r="L173" s="138"/>
      <x:c r="M173" s="138"/>
      <x:c r="N173" s="138"/>
      <x:c r="O173" s="138"/>
      <x:c r="P173" s="138"/>
      <x:c r="Q173" s="138"/>
      <x:c r="R173" s="138"/>
      <x:c r="S173" s="138"/>
      <x:c r="T173" s="138"/>
      <x:c r="U173" s="138"/>
      <x:c r="V173" s="138"/>
      <x:c r="W173" s="138"/>
      <x:c r="X173" s="138"/>
      <x:c r="Y173" s="138"/>
      <x:c r="Z173" s="138"/>
    </x:row>
    <x:row r="174">
      <x:c r="A174" s="138"/>
      <x:c r="B174" s="138"/>
      <x:c r="C174" s="138"/>
      <x:c r="D174" s="138"/>
      <x:c r="E174" s="138"/>
      <x:c r="F174" s="138"/>
      <x:c r="G174" s="138"/>
      <x:c r="H174" s="138"/>
      <x:c r="I174" s="138"/>
      <x:c r="J174" s="138"/>
      <x:c r="K174" s="138"/>
      <x:c r="L174" s="138"/>
      <x:c r="M174" s="138"/>
      <x:c r="N174" s="138"/>
      <x:c r="O174" s="138"/>
      <x:c r="P174" s="138"/>
      <x:c r="Q174" s="138"/>
      <x:c r="R174" s="138"/>
      <x:c r="S174" s="138"/>
      <x:c r="T174" s="138"/>
      <x:c r="U174" s="138"/>
      <x:c r="V174" s="138"/>
      <x:c r="W174" s="138"/>
      <x:c r="X174" s="138"/>
      <x:c r="Y174" s="138"/>
      <x:c r="Z174" s="138"/>
    </x:row>
    <x:row r="175">
      <x:c r="A175" s="138"/>
      <x:c r="B175" s="138"/>
      <x:c r="C175" s="138"/>
      <x:c r="D175" s="138"/>
      <x:c r="E175" s="138"/>
      <x:c r="F175" s="138"/>
      <x:c r="G175" s="138"/>
      <x:c r="H175" s="138"/>
      <x:c r="I175" s="138"/>
      <x:c r="J175" s="138"/>
      <x:c r="K175" s="138"/>
      <x:c r="L175" s="138"/>
      <x:c r="M175" s="138"/>
      <x:c r="N175" s="138"/>
      <x:c r="O175" s="138"/>
      <x:c r="P175" s="138"/>
      <x:c r="Q175" s="138"/>
      <x:c r="R175" s="138"/>
      <x:c r="S175" s="138"/>
      <x:c r="T175" s="138"/>
      <x:c r="U175" s="138"/>
      <x:c r="V175" s="138"/>
      <x:c r="W175" s="138"/>
      <x:c r="X175" s="138"/>
      <x:c r="Y175" s="138"/>
      <x:c r="Z175" s="138"/>
    </x:row>
    <x:row r="176">
      <x:c r="A176" s="138"/>
      <x:c r="B176" s="138"/>
      <x:c r="C176" s="138"/>
      <x:c r="D176" s="138"/>
      <x:c r="E176" s="138"/>
      <x:c r="F176" s="138"/>
      <x:c r="G176" s="138"/>
      <x:c r="H176" s="138"/>
      <x:c r="I176" s="138"/>
      <x:c r="J176" s="138"/>
      <x:c r="K176" s="138"/>
      <x:c r="L176" s="138"/>
      <x:c r="M176" s="138"/>
      <x:c r="N176" s="138"/>
      <x:c r="O176" s="138"/>
      <x:c r="P176" s="138"/>
      <x:c r="Q176" s="138"/>
      <x:c r="R176" s="138"/>
      <x:c r="S176" s="138"/>
      <x:c r="T176" s="138"/>
      <x:c r="U176" s="138"/>
      <x:c r="V176" s="138"/>
      <x:c r="W176" s="138"/>
      <x:c r="X176" s="138"/>
      <x:c r="Y176" s="138"/>
      <x:c r="Z176" s="138"/>
    </x:row>
    <x:row r="177">
      <x:c r="A177" s="138"/>
      <x:c r="B177" s="138"/>
      <x:c r="C177" s="138"/>
      <x:c r="D177" s="138"/>
      <x:c r="E177" s="138"/>
      <x:c r="F177" s="138"/>
      <x:c r="G177" s="138"/>
      <x:c r="H177" s="138"/>
      <x:c r="I177" s="138"/>
      <x:c r="J177" s="138"/>
      <x:c r="K177" s="138"/>
      <x:c r="L177" s="138"/>
      <x:c r="M177" s="138"/>
      <x:c r="N177" s="138"/>
      <x:c r="O177" s="138"/>
      <x:c r="P177" s="138"/>
      <x:c r="Q177" s="138"/>
      <x:c r="R177" s="138"/>
      <x:c r="S177" s="138"/>
      <x:c r="T177" s="138"/>
      <x:c r="U177" s="138"/>
      <x:c r="V177" s="138"/>
      <x:c r="W177" s="138"/>
      <x:c r="X177" s="138"/>
      <x:c r="Y177" s="138"/>
      <x:c r="Z177" s="138"/>
    </x:row>
    <x:row r="178">
      <x:c r="A178" s="138"/>
      <x:c r="B178" s="138"/>
      <x:c r="C178" s="138"/>
      <x:c r="D178" s="138"/>
      <x:c r="E178" s="138"/>
      <x:c r="F178" s="138"/>
      <x:c r="G178" s="138"/>
      <x:c r="H178" s="138"/>
      <x:c r="I178" s="138"/>
      <x:c r="J178" s="138"/>
      <x:c r="K178" s="138"/>
      <x:c r="L178" s="138"/>
      <x:c r="M178" s="138"/>
      <x:c r="N178" s="138"/>
      <x:c r="O178" s="138"/>
      <x:c r="P178" s="138"/>
      <x:c r="Q178" s="138"/>
      <x:c r="R178" s="138"/>
      <x:c r="S178" s="138"/>
      <x:c r="T178" s="138"/>
      <x:c r="U178" s="138"/>
      <x:c r="V178" s="138"/>
      <x:c r="W178" s="138"/>
      <x:c r="X178" s="138"/>
      <x:c r="Y178" s="138"/>
      <x:c r="Z178" s="138"/>
    </x:row>
    <x:row r="179">
      <x:c r="A179" s="138"/>
      <x:c r="B179" s="138"/>
      <x:c r="C179" s="138"/>
      <x:c r="D179" s="138"/>
      <x:c r="E179" s="138"/>
      <x:c r="F179" s="138"/>
      <x:c r="G179" s="138"/>
      <x:c r="H179" s="138"/>
      <x:c r="I179" s="138"/>
      <x:c r="J179" s="138"/>
      <x:c r="K179" s="138"/>
      <x:c r="L179" s="138"/>
      <x:c r="M179" s="138"/>
      <x:c r="N179" s="138"/>
      <x:c r="O179" s="138"/>
      <x:c r="P179" s="138"/>
      <x:c r="Q179" s="138"/>
      <x:c r="R179" s="138"/>
      <x:c r="S179" s="138"/>
      <x:c r="T179" s="138"/>
      <x:c r="U179" s="138"/>
      <x:c r="V179" s="138"/>
      <x:c r="W179" s="138"/>
      <x:c r="X179" s="138"/>
      <x:c r="Y179" s="138"/>
      <x:c r="Z179" s="138"/>
    </x:row>
    <x:row r="180">
      <x:c r="A180" s="138"/>
      <x:c r="B180" s="138"/>
      <x:c r="C180" s="138"/>
      <x:c r="D180" s="138"/>
      <x:c r="E180" s="138"/>
      <x:c r="F180" s="138"/>
      <x:c r="G180" s="138"/>
      <x:c r="H180" s="138"/>
      <x:c r="I180" s="138"/>
      <x:c r="J180" s="138"/>
      <x:c r="K180" s="138"/>
      <x:c r="L180" s="138"/>
      <x:c r="M180" s="138"/>
      <x:c r="N180" s="138"/>
      <x:c r="O180" s="138"/>
      <x:c r="P180" s="138"/>
      <x:c r="Q180" s="138"/>
      <x:c r="R180" s="138"/>
      <x:c r="S180" s="138"/>
      <x:c r="T180" s="138"/>
      <x:c r="U180" s="138"/>
      <x:c r="V180" s="138"/>
      <x:c r="W180" s="138"/>
      <x:c r="X180" s="138"/>
      <x:c r="Y180" s="138"/>
      <x:c r="Z180" s="138"/>
    </x:row>
    <x:row r="181">
      <x:c r="A181" s="138"/>
      <x:c r="B181" s="138"/>
      <x:c r="C181" s="138"/>
      <x:c r="D181" s="138"/>
      <x:c r="E181" s="138"/>
      <x:c r="F181" s="138"/>
      <x:c r="G181" s="138"/>
      <x:c r="H181" s="138"/>
      <x:c r="I181" s="138"/>
      <x:c r="J181" s="138"/>
      <x:c r="K181" s="138"/>
      <x:c r="L181" s="138"/>
      <x:c r="M181" s="138"/>
      <x:c r="N181" s="138"/>
      <x:c r="O181" s="138"/>
      <x:c r="P181" s="138"/>
      <x:c r="Q181" s="138"/>
      <x:c r="R181" s="138"/>
      <x:c r="S181" s="138"/>
      <x:c r="T181" s="138"/>
      <x:c r="U181" s="138"/>
      <x:c r="V181" s="138"/>
      <x:c r="W181" s="138"/>
      <x:c r="X181" s="138"/>
      <x:c r="Y181" s="138"/>
      <x:c r="Z181" s="138"/>
    </x:row>
    <x:row r="182">
      <x:c r="A182" s="138"/>
      <x:c r="B182" s="138"/>
      <x:c r="C182" s="138"/>
      <x:c r="D182" s="138"/>
      <x:c r="E182" s="138"/>
      <x:c r="F182" s="138"/>
      <x:c r="G182" s="138"/>
      <x:c r="H182" s="138"/>
      <x:c r="I182" s="138"/>
      <x:c r="J182" s="138"/>
      <x:c r="K182" s="138"/>
      <x:c r="L182" s="138"/>
      <x:c r="M182" s="138"/>
      <x:c r="N182" s="138"/>
      <x:c r="O182" s="138"/>
      <x:c r="P182" s="138"/>
      <x:c r="Q182" s="138"/>
      <x:c r="R182" s="138"/>
      <x:c r="S182" s="138"/>
      <x:c r="T182" s="138"/>
      <x:c r="U182" s="138"/>
      <x:c r="V182" s="138"/>
      <x:c r="W182" s="138"/>
      <x:c r="X182" s="138"/>
      <x:c r="Y182" s="138"/>
      <x:c r="Z182" s="138"/>
    </x:row>
    <x:row r="183">
      <x:c r="A183" s="138"/>
      <x:c r="B183" s="138"/>
      <x:c r="C183" s="138"/>
      <x:c r="D183" s="138"/>
      <x:c r="E183" s="138"/>
      <x:c r="F183" s="138"/>
      <x:c r="G183" s="138"/>
      <x:c r="H183" s="138"/>
      <x:c r="I183" s="138"/>
      <x:c r="J183" s="138"/>
      <x:c r="K183" s="138"/>
      <x:c r="L183" s="138"/>
      <x:c r="M183" s="138"/>
      <x:c r="N183" s="138"/>
      <x:c r="O183" s="138"/>
      <x:c r="P183" s="138"/>
      <x:c r="Q183" s="138"/>
      <x:c r="R183" s="138"/>
      <x:c r="S183" s="138"/>
      <x:c r="T183" s="138"/>
      <x:c r="U183" s="138"/>
      <x:c r="V183" s="138"/>
      <x:c r="W183" s="138"/>
      <x:c r="X183" s="138"/>
      <x:c r="Y183" s="138"/>
      <x:c r="Z183" s="138"/>
    </x:row>
    <x:row r="184">
      <x:c r="A184" s="138"/>
      <x:c r="B184" s="138"/>
      <x:c r="C184" s="138"/>
      <x:c r="D184" s="138"/>
      <x:c r="E184" s="138"/>
      <x:c r="F184" s="138"/>
      <x:c r="G184" s="138"/>
      <x:c r="H184" s="138"/>
      <x:c r="I184" s="138"/>
      <x:c r="J184" s="138"/>
      <x:c r="K184" s="138"/>
      <x:c r="L184" s="138"/>
      <x:c r="M184" s="138"/>
      <x:c r="N184" s="138"/>
      <x:c r="O184" s="138"/>
      <x:c r="P184" s="138"/>
      <x:c r="Q184" s="138"/>
      <x:c r="R184" s="138"/>
      <x:c r="S184" s="138"/>
      <x:c r="T184" s="138"/>
      <x:c r="U184" s="138"/>
      <x:c r="V184" s="138"/>
      <x:c r="W184" s="138"/>
      <x:c r="X184" s="138"/>
      <x:c r="Y184" s="138"/>
      <x:c r="Z184" s="138"/>
    </x:row>
    <x:row r="185">
      <x:c r="A185" s="138"/>
      <x:c r="B185" s="138"/>
      <x:c r="C185" s="138"/>
      <x:c r="D185" s="138"/>
      <x:c r="E185" s="138"/>
      <x:c r="F185" s="138"/>
      <x:c r="G185" s="138"/>
      <x:c r="H185" s="138"/>
      <x:c r="I185" s="138"/>
      <x:c r="J185" s="138"/>
      <x:c r="K185" s="138"/>
      <x:c r="L185" s="138"/>
      <x:c r="M185" s="138"/>
      <x:c r="N185" s="138"/>
      <x:c r="O185" s="138"/>
      <x:c r="P185" s="138"/>
      <x:c r="Q185" s="138"/>
      <x:c r="R185" s="138"/>
      <x:c r="S185" s="138"/>
      <x:c r="T185" s="138"/>
      <x:c r="U185" s="138"/>
      <x:c r="V185" s="138"/>
      <x:c r="W185" s="138"/>
      <x:c r="X185" s="138"/>
      <x:c r="Y185" s="138"/>
      <x:c r="Z185" s="138"/>
    </x:row>
    <x:row r="186">
      <x:c r="A186" s="138"/>
      <x:c r="B186" s="138"/>
      <x:c r="C186" s="138"/>
      <x:c r="D186" s="138"/>
      <x:c r="E186" s="138"/>
      <x:c r="F186" s="138"/>
      <x:c r="G186" s="138"/>
      <x:c r="H186" s="138"/>
      <x:c r="I186" s="138"/>
      <x:c r="J186" s="138"/>
      <x:c r="K186" s="138"/>
      <x:c r="L186" s="138"/>
      <x:c r="M186" s="138"/>
      <x:c r="N186" s="138"/>
      <x:c r="O186" s="138"/>
      <x:c r="P186" s="138"/>
      <x:c r="Q186" s="138"/>
      <x:c r="R186" s="138"/>
      <x:c r="S186" s="138"/>
      <x:c r="T186" s="138"/>
      <x:c r="U186" s="138"/>
      <x:c r="V186" s="138"/>
      <x:c r="W186" s="138"/>
      <x:c r="X186" s="138"/>
      <x:c r="Y186" s="138"/>
      <x:c r="Z186" s="138"/>
    </x:row>
    <x:row r="187">
      <x:c r="A187" s="138"/>
      <x:c r="B187" s="138"/>
      <x:c r="C187" s="138"/>
      <x:c r="D187" s="138"/>
      <x:c r="E187" s="138"/>
      <x:c r="F187" s="138"/>
      <x:c r="G187" s="138"/>
      <x:c r="H187" s="138"/>
      <x:c r="I187" s="138"/>
      <x:c r="J187" s="138"/>
      <x:c r="K187" s="138"/>
      <x:c r="L187" s="138"/>
      <x:c r="M187" s="138"/>
      <x:c r="N187" s="138"/>
      <x:c r="O187" s="138"/>
      <x:c r="P187" s="138"/>
      <x:c r="Q187" s="138"/>
      <x:c r="R187" s="138"/>
      <x:c r="S187" s="138"/>
      <x:c r="T187" s="138"/>
      <x:c r="U187" s="138"/>
      <x:c r="V187" s="138"/>
      <x:c r="W187" s="138"/>
      <x:c r="X187" s="138"/>
      <x:c r="Y187" s="138"/>
      <x:c r="Z187" s="138"/>
    </x:row>
    <x:row r="188">
      <x:c r="A188" s="138"/>
      <x:c r="B188" s="138"/>
      <x:c r="C188" s="138"/>
      <x:c r="D188" s="138"/>
      <x:c r="E188" s="138"/>
      <x:c r="F188" s="138"/>
      <x:c r="G188" s="138"/>
      <x:c r="H188" s="138"/>
      <x:c r="I188" s="138"/>
      <x:c r="J188" s="138"/>
      <x:c r="K188" s="138"/>
      <x:c r="L188" s="138"/>
      <x:c r="M188" s="138"/>
      <x:c r="N188" s="138"/>
      <x:c r="O188" s="138"/>
      <x:c r="P188" s="138"/>
      <x:c r="Q188" s="138"/>
      <x:c r="R188" s="138"/>
      <x:c r="S188" s="138"/>
      <x:c r="T188" s="138"/>
      <x:c r="U188" s="138"/>
      <x:c r="V188" s="138"/>
      <x:c r="W188" s="138"/>
      <x:c r="X188" s="138"/>
      <x:c r="Y188" s="138"/>
      <x:c r="Z188" s="138"/>
    </x:row>
    <x:row r="189">
      <x:c r="A189" s="138"/>
      <x:c r="B189" s="138"/>
      <x:c r="C189" s="138"/>
      <x:c r="D189" s="138"/>
      <x:c r="E189" s="138"/>
      <x:c r="F189" s="138"/>
      <x:c r="G189" s="138"/>
      <x:c r="H189" s="138"/>
      <x:c r="I189" s="138"/>
      <x:c r="J189" s="138"/>
      <x:c r="K189" s="138"/>
      <x:c r="L189" s="138"/>
      <x:c r="M189" s="138"/>
      <x:c r="N189" s="138"/>
      <x:c r="O189" s="138"/>
      <x:c r="P189" s="138"/>
      <x:c r="Q189" s="138"/>
      <x:c r="R189" s="138"/>
      <x:c r="S189" s="138"/>
      <x:c r="T189" s="138"/>
      <x:c r="U189" s="138"/>
      <x:c r="V189" s="138"/>
      <x:c r="W189" s="138"/>
      <x:c r="X189" s="138"/>
      <x:c r="Y189" s="138"/>
      <x:c r="Z189" s="138"/>
    </x:row>
    <x:row r="190">
      <x:c r="A190" s="138"/>
      <x:c r="B190" s="138"/>
      <x:c r="C190" s="138"/>
      <x:c r="D190" s="138"/>
      <x:c r="E190" s="138"/>
      <x:c r="F190" s="138"/>
      <x:c r="G190" s="138"/>
      <x:c r="H190" s="138"/>
      <x:c r="I190" s="138"/>
      <x:c r="J190" s="138"/>
      <x:c r="K190" s="138"/>
      <x:c r="L190" s="138"/>
      <x:c r="M190" s="138"/>
      <x:c r="N190" s="138"/>
      <x:c r="O190" s="138"/>
      <x:c r="P190" s="138"/>
      <x:c r="Q190" s="138"/>
      <x:c r="R190" s="138"/>
      <x:c r="S190" s="138"/>
      <x:c r="T190" s="138"/>
      <x:c r="U190" s="138"/>
      <x:c r="V190" s="138"/>
      <x:c r="W190" s="138"/>
      <x:c r="X190" s="138"/>
      <x:c r="Y190" s="138"/>
      <x:c r="Z190" s="138"/>
    </x:row>
    <x:row r="191">
      <x:c r="A191" s="138"/>
      <x:c r="B191" s="138"/>
      <x:c r="C191" s="138"/>
      <x:c r="D191" s="138"/>
      <x:c r="E191" s="138"/>
      <x:c r="F191" s="138"/>
      <x:c r="G191" s="138"/>
      <x:c r="H191" s="138"/>
      <x:c r="I191" s="138"/>
      <x:c r="J191" s="138"/>
      <x:c r="K191" s="138"/>
      <x:c r="L191" s="138"/>
      <x:c r="M191" s="138"/>
      <x:c r="N191" s="138"/>
      <x:c r="O191" s="138"/>
      <x:c r="P191" s="138"/>
      <x:c r="Q191" s="138"/>
      <x:c r="R191" s="138"/>
      <x:c r="S191" s="138"/>
      <x:c r="T191" s="138"/>
      <x:c r="U191" s="138"/>
      <x:c r="V191" s="138"/>
      <x:c r="W191" s="138"/>
      <x:c r="X191" s="138"/>
      <x:c r="Y191" s="138"/>
      <x:c r="Z191" s="138"/>
    </x:row>
    <x:row r="192">
      <x:c r="A192" s="138"/>
      <x:c r="B192" s="138"/>
      <x:c r="C192" s="138"/>
      <x:c r="D192" s="138"/>
      <x:c r="E192" s="138"/>
      <x:c r="F192" s="138"/>
      <x:c r="G192" s="138"/>
      <x:c r="H192" s="138"/>
      <x:c r="I192" s="138"/>
      <x:c r="J192" s="138"/>
      <x:c r="K192" s="138"/>
      <x:c r="L192" s="138"/>
      <x:c r="M192" s="138"/>
      <x:c r="N192" s="138"/>
      <x:c r="O192" s="138"/>
      <x:c r="P192" s="138"/>
      <x:c r="Q192" s="138"/>
      <x:c r="R192" s="138"/>
      <x:c r="S192" s="138"/>
      <x:c r="T192" s="138"/>
      <x:c r="U192" s="138"/>
      <x:c r="V192" s="138"/>
      <x:c r="W192" s="138"/>
      <x:c r="X192" s="138"/>
      <x:c r="Y192" s="138"/>
      <x:c r="Z192" s="138"/>
    </x:row>
    <x:row r="193">
      <x:c r="A193" s="138"/>
      <x:c r="B193" s="138"/>
      <x:c r="C193" s="138"/>
      <x:c r="D193" s="138"/>
      <x:c r="E193" s="138"/>
      <x:c r="F193" s="138"/>
      <x:c r="G193" s="138"/>
      <x:c r="H193" s="138"/>
      <x:c r="I193" s="138"/>
      <x:c r="J193" s="138"/>
      <x:c r="K193" s="138"/>
      <x:c r="L193" s="138"/>
      <x:c r="M193" s="138"/>
      <x:c r="N193" s="138"/>
      <x:c r="O193" s="138"/>
      <x:c r="P193" s="138"/>
      <x:c r="Q193" s="138"/>
      <x:c r="R193" s="138"/>
      <x:c r="S193" s="138"/>
      <x:c r="T193" s="138"/>
      <x:c r="U193" s="138"/>
      <x:c r="V193" s="138"/>
      <x:c r="W193" s="138"/>
      <x:c r="X193" s="138"/>
      <x:c r="Y193" s="138"/>
      <x:c r="Z193" s="138"/>
    </x:row>
    <x:row r="194">
      <x:c r="A194" s="138"/>
      <x:c r="B194" s="138"/>
      <x:c r="C194" s="138"/>
      <x:c r="D194" s="138"/>
      <x:c r="E194" s="138"/>
      <x:c r="F194" s="138"/>
      <x:c r="G194" s="138"/>
      <x:c r="H194" s="138"/>
      <x:c r="I194" s="138"/>
      <x:c r="J194" s="138"/>
      <x:c r="K194" s="138"/>
      <x:c r="L194" s="138"/>
      <x:c r="M194" s="138"/>
      <x:c r="N194" s="138"/>
      <x:c r="O194" s="138"/>
      <x:c r="P194" s="138"/>
      <x:c r="Q194" s="138"/>
      <x:c r="R194" s="138"/>
      <x:c r="S194" s="138"/>
      <x:c r="T194" s="138"/>
      <x:c r="U194" s="138"/>
      <x:c r="V194" s="138"/>
      <x:c r="W194" s="138"/>
      <x:c r="X194" s="138"/>
      <x:c r="Y194" s="138"/>
      <x:c r="Z194" s="138"/>
    </x:row>
    <x:row r="195">
      <x:c r="A195" s="138"/>
      <x:c r="B195" s="138"/>
      <x:c r="C195" s="138"/>
      <x:c r="D195" s="138"/>
      <x:c r="E195" s="138"/>
      <x:c r="F195" s="138"/>
      <x:c r="G195" s="138"/>
      <x:c r="H195" s="138"/>
      <x:c r="I195" s="138"/>
      <x:c r="J195" s="138"/>
      <x:c r="K195" s="138"/>
      <x:c r="L195" s="138"/>
      <x:c r="M195" s="138"/>
      <x:c r="N195" s="138"/>
      <x:c r="O195" s="138"/>
      <x:c r="P195" s="138"/>
      <x:c r="Q195" s="138"/>
      <x:c r="R195" s="138"/>
      <x:c r="S195" s="138"/>
      <x:c r="T195" s="138"/>
      <x:c r="U195" s="138"/>
      <x:c r="V195" s="138"/>
      <x:c r="W195" s="138"/>
      <x:c r="X195" s="138"/>
      <x:c r="Y195" s="138"/>
      <x:c r="Z195" s="138"/>
    </x:row>
    <x:row r="196">
      <x:c r="A196" s="138"/>
      <x:c r="B196" s="138"/>
      <x:c r="C196" s="138"/>
      <x:c r="D196" s="138"/>
      <x:c r="E196" s="138"/>
      <x:c r="F196" s="138"/>
      <x:c r="G196" s="138"/>
      <x:c r="H196" s="138"/>
      <x:c r="I196" s="138"/>
      <x:c r="J196" s="138"/>
      <x:c r="K196" s="138"/>
      <x:c r="L196" s="138"/>
      <x:c r="M196" s="138"/>
      <x:c r="N196" s="138"/>
      <x:c r="O196" s="138"/>
      <x:c r="P196" s="138"/>
      <x:c r="Q196" s="138"/>
      <x:c r="R196" s="138"/>
      <x:c r="S196" s="138"/>
      <x:c r="T196" s="138"/>
      <x:c r="U196" s="138"/>
      <x:c r="V196" s="138"/>
      <x:c r="W196" s="138"/>
      <x:c r="X196" s="138"/>
      <x:c r="Y196" s="138"/>
      <x:c r="Z196" s="138"/>
    </x:row>
    <x:row r="197">
      <x:c r="A197" s="138"/>
      <x:c r="B197" s="138"/>
      <x:c r="C197" s="138"/>
      <x:c r="D197" s="138"/>
      <x:c r="E197" s="138"/>
      <x:c r="F197" s="138"/>
      <x:c r="G197" s="138"/>
      <x:c r="H197" s="138"/>
      <x:c r="I197" s="138"/>
      <x:c r="J197" s="138"/>
      <x:c r="K197" s="138"/>
      <x:c r="L197" s="138"/>
      <x:c r="M197" s="138"/>
      <x:c r="N197" s="138"/>
      <x:c r="O197" s="138"/>
      <x:c r="P197" s="138"/>
      <x:c r="Q197" s="138"/>
      <x:c r="R197" s="138"/>
      <x:c r="S197" s="138"/>
      <x:c r="T197" s="138"/>
      <x:c r="U197" s="138"/>
      <x:c r="V197" s="138"/>
      <x:c r="W197" s="138"/>
      <x:c r="X197" s="138"/>
      <x:c r="Y197" s="138"/>
      <x:c r="Z197" s="138"/>
    </x:row>
    <x:row r="198">
      <x:c r="A198" s="138"/>
      <x:c r="B198" s="138"/>
      <x:c r="C198" s="138"/>
      <x:c r="D198" s="138"/>
      <x:c r="E198" s="138"/>
      <x:c r="F198" s="138"/>
      <x:c r="G198" s="138"/>
      <x:c r="H198" s="138"/>
      <x:c r="I198" s="138"/>
      <x:c r="J198" s="138"/>
      <x:c r="K198" s="138"/>
      <x:c r="L198" s="138"/>
      <x:c r="M198" s="138"/>
      <x:c r="N198" s="138"/>
      <x:c r="O198" s="138"/>
      <x:c r="P198" s="138"/>
      <x:c r="Q198" s="138"/>
      <x:c r="R198" s="138"/>
      <x:c r="S198" s="138"/>
      <x:c r="T198" s="138"/>
      <x:c r="U198" s="138"/>
      <x:c r="V198" s="138"/>
      <x:c r="W198" s="138"/>
      <x:c r="X198" s="138"/>
      <x:c r="Y198" s="138"/>
      <x:c r="Z198" s="138"/>
    </x:row>
    <x:row r="199">
      <x:c r="A199" s="138"/>
      <x:c r="B199" s="138"/>
      <x:c r="C199" s="138"/>
      <x:c r="D199" s="138"/>
      <x:c r="E199" s="138"/>
      <x:c r="F199" s="138"/>
      <x:c r="G199" s="138"/>
      <x:c r="H199" s="138"/>
      <x:c r="I199" s="138"/>
      <x:c r="J199" s="138"/>
      <x:c r="K199" s="138"/>
      <x:c r="L199" s="138"/>
      <x:c r="M199" s="138"/>
      <x:c r="N199" s="138"/>
      <x:c r="O199" s="138"/>
      <x:c r="P199" s="138"/>
      <x:c r="Q199" s="138"/>
      <x:c r="R199" s="138"/>
      <x:c r="S199" s="138"/>
      <x:c r="T199" s="138"/>
      <x:c r="U199" s="138"/>
      <x:c r="V199" s="138"/>
      <x:c r="W199" s="138"/>
      <x:c r="X199" s="138"/>
      <x:c r="Y199" s="138"/>
      <x:c r="Z199" s="138"/>
    </x:row>
    <x:row r="200">
      <x:c r="A200" s="138"/>
      <x:c r="B200" s="138"/>
      <x:c r="C200" s="138"/>
      <x:c r="D200" s="138"/>
      <x:c r="E200" s="138"/>
      <x:c r="F200" s="138"/>
      <x:c r="G200" s="138"/>
      <x:c r="H200" s="138"/>
      <x:c r="I200" s="138"/>
      <x:c r="J200" s="138"/>
      <x:c r="K200" s="138"/>
      <x:c r="L200" s="138"/>
      <x:c r="M200" s="138"/>
      <x:c r="N200" s="138"/>
      <x:c r="O200" s="138"/>
      <x:c r="P200" s="138"/>
      <x:c r="Q200" s="138"/>
      <x:c r="R200" s="138"/>
      <x:c r="S200" s="138"/>
      <x:c r="T200" s="138"/>
      <x:c r="U200" s="138"/>
      <x:c r="V200" s="138"/>
      <x:c r="W200" s="138"/>
      <x:c r="X200" s="138"/>
      <x:c r="Y200" s="138"/>
      <x:c r="Z200" s="138"/>
    </x:row>
  </x:sheetData>
  <x:mergeCells>
    <x:mergeCell ref="A1:J1"/>
    <x:mergeCell ref="A2:J2"/>
    <x:mergeCell ref="A4:J4"/>
    <x:mergeCell ref="A19:J19"/>
    <x:mergeCell ref="A31:J31"/>
  </x:mergeCells>
  <x:conditionalFormatting sqref="G33:G35">
    <x:cfRule type="expression" dxfId="2" priority="1">
      <x:formula>ISNUMBER(SEARCH("Fits",G33))</x:formula>
    </x:cfRule>
    <x:cfRule type="expression" dxfId="3" priority="2">
      <x:formula>NOT(ISNUMBER(SEARCH("Fits",G33)))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18" hidden="0" customWidth="1"/>
    <x:col min="4" max="4" width="17" hidden="0" customWidth="1"/>
    <x:col min="5" max="5" width="20" hidden="0" customWidth="1"/>
    <x:col min="6" max="6" width="22" hidden="0" customWidth="1"/>
    <x:col min="7" max="7" width="17" hidden="0" customWidth="1"/>
    <x:col min="8" max="8" width="13" hidden="0" customWidth="1"/>
    <x:col min="9" max="9" width="24" hidden="0" customWidth="1"/>
    <x:col min="10" max="10" width="38" hidden="0" customWidth="1"/>
  </x:cols>
  <x:sheetData>
    <x:row r="1" ht="32" customHeight="1">
      <x:c r="A1" s="137" t="str">
        <x:v>Data-Consuming Endpoint Touchpoints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  <x:c r="V1" s="138"/>
      <x:c r="W1" s="138"/>
      <x:c r="X1" s="138"/>
      <x:c r="Y1" s="138"/>
      <x:c r="Z1" s="138"/>
    </x:row>
    <x:row r="2" ht="30" customHeight="1">
      <x:c r="A2" s="139" t="str">
        <x:v>Counts distinguish logical billable units from HTTP requests. Batch APIs can reduce requests without changing provider units.</x:v>
      </x:c>
      <x:c r="B2" s="138"/>
      <x:c r="C2" s="138"/>
      <x:c r="D2" s="138"/>
      <x:c r="E2" s="138"/>
      <x:c r="F2" s="138"/>
      <x:c r="G2" s="138"/>
      <x:c r="H2" s="138"/>
      <x:c r="I2" s="138"/>
      <x:c r="J2" s="138"/>
      <x:c r="K2" s="138"/>
      <x:c r="L2" s="138"/>
      <x:c r="M2" s="138"/>
      <x:c r="N2" s="138"/>
      <x:c r="O2" s="138"/>
      <x:c r="P2" s="138"/>
      <x:c r="Q2" s="138"/>
      <x:c r="R2" s="138"/>
      <x:c r="S2" s="138"/>
      <x:c r="T2" s="138"/>
      <x:c r="U2" s="138"/>
      <x:c r="V2" s="138"/>
      <x:c r="W2" s="138"/>
      <x:c r="X2" s="138"/>
      <x:c r="Y2" s="138"/>
      <x:c r="Z2" s="138"/>
    </x:row>
    <x:row r="3">
      <x:c r="A3" s="138"/>
      <x:c r="B3" s="138"/>
      <x:c r="C3" s="138"/>
      <x:c r="D3" s="138"/>
      <x:c r="E3" s="138"/>
      <x:c r="F3" s="138"/>
      <x:c r="G3" s="138"/>
      <x:c r="H3" s="138"/>
      <x:c r="I3" s="138"/>
      <x:c r="J3" s="138"/>
      <x:c r="K3" s="138"/>
      <x:c r="L3" s="138"/>
      <x:c r="M3" s="138"/>
      <x:c r="N3" s="138"/>
      <x:c r="O3" s="138"/>
      <x:c r="P3" s="138"/>
      <x:c r="Q3" s="138"/>
      <x:c r="R3" s="138"/>
      <x:c r="S3" s="138"/>
      <x:c r="T3" s="138"/>
      <x:c r="U3" s="138"/>
      <x:c r="V3" s="138"/>
      <x:c r="W3" s="138"/>
      <x:c r="X3" s="138"/>
      <x:c r="Y3" s="138"/>
      <x:c r="Z3" s="138"/>
    </x:row>
    <x:row r="4">
      <x:c r="A4" s="141" t="str">
        <x:v>Lifecycle stage</x:v>
      </x:c>
      <x:c r="B4" s="142" t="str">
        <x:v>Action / endpoint</x:v>
      </x:c>
      <x:c r="C4" s="142" t="str">
        <x:v>Provider</x:v>
      </x:c>
      <x:c r="D4" s="142" t="str">
        <x:v>Logical units / mo</x:v>
      </x:c>
      <x:c r="E4" s="142" t="str">
        <x:v>Estimated HTTP calls / mo</x:v>
      </x:c>
      <x:c r="F4" s="142" t="str">
        <x:v>Paid unit</x:v>
      </x:c>
      <x:c r="G4" s="142" t="str">
        <x:v>Arcova credits charged</x:v>
      </x:c>
      <x:c r="H4" s="142" t="str">
        <x:v>Included?</x:v>
      </x:c>
      <x:c r="I4" s="142" t="str">
        <x:v>Current app status</x:v>
      </x:c>
      <x:c r="J4" s="143" t="str">
        <x:v>Notes</x:v>
      </x:c>
      <x:c r="K4" s="138"/>
      <x:c r="L4" s="138"/>
      <x:c r="M4" s="138"/>
      <x:c r="N4" s="138"/>
      <x:c r="O4" s="138"/>
      <x:c r="P4" s="138"/>
      <x:c r="Q4" s="138"/>
      <x:c r="R4" s="138"/>
      <x:c r="S4" s="138"/>
      <x:c r="T4" s="138"/>
      <x:c r="U4" s="138"/>
      <x:c r="V4" s="138"/>
      <x:c r="W4" s="138"/>
      <x:c r="X4" s="138"/>
      <x:c r="Y4" s="138"/>
      <x:c r="Z4" s="138"/>
    </x:row>
    <x:row r="5">
      <x:c r="A5" s="144" t="str">
        <x:v>Setup</x:v>
      </x:c>
      <x:c r="B5" s="151" t="str">
        <x:v>organizations/enrich</x:v>
      </x:c>
      <x:c r="C5" s="151" t="str">
        <x:v>Apollo</x:v>
      </x:c>
      <x:c r="D5" s="164" t="n">
        <x:v>2</x:v>
      </x:c>
      <x:c r="E5" s="164" t="n">
        <x:v>2</x:v>
      </x:c>
      <x:c r="F5" s="164" t="str">
        <x:v>Org enrichments</x:v>
      </x:c>
      <x:c r="G5" s="164" t="n">
        <x:v>0</x:v>
      </x:c>
      <x:c r="H5" s="151" t="str">
        <x:v>Yes</x:v>
      </x:c>
      <x:c r="I5" s="151" t="str">
        <x:v>Built</x:v>
      </x:c>
      <x:c r="J5" s="146" t="str">
        <x:v>Your company + one example ICP company; 2–4 typical.</x:v>
      </x:c>
      <x:c r="K5" s="138"/>
      <x:c r="L5" s="138"/>
      <x:c r="M5" s="138"/>
      <x:c r="N5" s="138"/>
      <x:c r="O5" s="138"/>
      <x:c r="P5" s="138"/>
      <x:c r="Q5" s="138"/>
      <x:c r="R5" s="138"/>
      <x:c r="S5" s="138"/>
      <x:c r="T5" s="138"/>
      <x:c r="U5" s="138"/>
      <x:c r="V5" s="138"/>
      <x:c r="W5" s="138"/>
      <x:c r="X5" s="138"/>
      <x:c r="Y5" s="138"/>
      <x:c r="Z5" s="138"/>
    </x:row>
    <x:row r="6">
      <x:c r="A6" s="152" t="str">
        <x:v>Setup</x:v>
      </x:c>
      <x:c r="B6" s="154" t="str">
        <x:v>linkedin-company actor</x:v>
      </x:c>
      <x:c r="C6" s="154" t="str">
        <x:v>Apify</x:v>
      </x:c>
      <x:c r="D6" s="167" t="n">
        <x:v>2</x:v>
      </x:c>
      <x:c r="E6" s="167" t="n">
        <x:v>2</x:v>
      </x:c>
      <x:c r="F6" s="167" t="str">
        <x:v>Company results</x:v>
      </x:c>
      <x:c r="G6" s="167" t="n">
        <x:v>0</x:v>
      </x:c>
      <x:c r="H6" s="154" t="str">
        <x:v>Yes</x:v>
      </x:c>
      <x:c r="I6" s="154" t="str">
        <x:v>Built</x:v>
      </x:c>
      <x:c r="J6" s="155" t="str">
        <x:v>Absorbed onboarding COGS.</x:v>
      </x:c>
      <x:c r="K6" s="138"/>
      <x:c r="L6" s="138"/>
      <x:c r="M6" s="138"/>
      <x:c r="N6" s="138"/>
      <x:c r="O6" s="138"/>
      <x:c r="P6" s="138"/>
      <x:c r="Q6" s="138"/>
      <x:c r="R6" s="138"/>
      <x:c r="S6" s="138"/>
      <x:c r="T6" s="138"/>
      <x:c r="U6" s="138"/>
      <x:c r="V6" s="138"/>
      <x:c r="W6" s="138"/>
      <x:c r="X6" s="138"/>
      <x:c r="Y6" s="138"/>
      <x:c r="Z6" s="138"/>
    </x:row>
    <x:row r="7">
      <x:c r="A7" s="152" t="str">
        <x:v>Import</x:v>
      </x:c>
      <x:c r="B7" s="154" t="str">
        <x:v>Cheap pre-triage</x:v>
      </x:c>
      <x:c r="C7" s="154" t="str">
        <x:v>Anthropic Haiku</x:v>
      </x:c>
      <x:c r="D7" s="167" t="n">
        <x:f>'Scenario Model'!B6+'Scenario Model'!B7</x:f>
        <x:v>200</x:v>
      </x:c>
      <x:c r="E7" s="167" t="n">
        <x:f>ROUNDUP(D7/Assumptions!B26,0)</x:f>
        <x:v>20</x:v>
      </x:c>
      <x:c r="F7" s="167" t="str">
        <x:v>Records</x:v>
      </x:c>
      <x:c r="G7" s="167" t="n">
        <x:f>D7*0.1</x:f>
        <x:v>20</x:v>
      </x:c>
      <x:c r="H7" s="154" t="str">
        <x:v>Allowance</x:v>
      </x:c>
      <x:c r="I7" s="154" t="str">
        <x:v>Needs explicit pre-enrich stage</x:v>
      </x:c>
      <x:c r="J7" s="155" t="str">
        <x:v>Batch 10 records/request.</x:v>
      </x:c>
      <x:c r="K7" s="138"/>
      <x:c r="L7" s="138"/>
      <x:c r="M7" s="138"/>
      <x:c r="N7" s="138"/>
      <x:c r="O7" s="138"/>
      <x:c r="P7" s="138"/>
      <x:c r="Q7" s="138"/>
      <x:c r="R7" s="138"/>
      <x:c r="S7" s="138"/>
      <x:c r="T7" s="138"/>
      <x:c r="U7" s="138"/>
      <x:c r="V7" s="138"/>
      <x:c r="W7" s="138"/>
      <x:c r="X7" s="138"/>
      <x:c r="Y7" s="138"/>
      <x:c r="Z7" s="138"/>
    </x:row>
    <x:row r="8">
      <x:c r="A8" s="152" t="str">
        <x:v>Import</x:v>
      </x:c>
      <x:c r="B8" s="154" t="str">
        <x:v>people/match</x:v>
      </x:c>
      <x:c r="C8" s="154" t="str">
        <x:v>Apollo</x:v>
      </x:c>
      <x:c r="D8" s="167" t="n">
        <x:f>'Scenario Model'!B8</x:f>
        <x:v>40</x:v>
      </x:c>
      <x:c r="E8" s="167" t="n">
        <x:f>D8</x:f>
        <x:v>40</x:v>
      </x:c>
      <x:c r="F8" s="167" t="str">
        <x:v>Person enrichments</x:v>
      </x:c>
      <x:c r="G8" s="167" t="n">
        <x:f>D8*4</x:f>
        <x:v>160</x:v>
      </x:c>
      <x:c r="H8" s="154" t="str">
        <x:v>No</x:v>
      </x:c>
      <x:c r="I8" s="154" t="str">
        <x:v>Built</x:v>
      </x:c>
      <x:c r="J8" s="155" t="str">
        <x:v>Currently runs for every non-duplicate import row.</x:v>
      </x:c>
      <x:c r="K8" s="138"/>
      <x:c r="L8" s="138"/>
      <x:c r="M8" s="138"/>
      <x:c r="N8" s="138"/>
      <x:c r="O8" s="138"/>
      <x:c r="P8" s="138"/>
      <x:c r="Q8" s="138"/>
      <x:c r="R8" s="138"/>
      <x:c r="S8" s="138"/>
      <x:c r="T8" s="138"/>
      <x:c r="U8" s="138"/>
      <x:c r="V8" s="138"/>
      <x:c r="W8" s="138"/>
      <x:c r="X8" s="138"/>
      <x:c r="Y8" s="138"/>
      <x:c r="Z8" s="138"/>
    </x:row>
    <x:row r="9">
      <x:c r="A9" s="152" t="str">
        <x:v>Import</x:v>
      </x:c>
      <x:c r="B9" s="154" t="str">
        <x:v>organizations/enrich / org data</x:v>
      </x:c>
      <x:c r="C9" s="154" t="str">
        <x:v>Apollo</x:v>
      </x:c>
      <x:c r="D9" s="167" t="n">
        <x:f>'Scenario Model'!B8*0.3</x:f>
        <x:v>12</x:v>
      </x:c>
      <x:c r="E9" s="167" t="n">
        <x:f>ROUNDUP(D9,0)</x:f>
        <x:v>12</x:v>
      </x:c>
      <x:c r="F9" s="167" t="str">
        <x:v>Amortized company units</x:v>
      </x:c>
      <x:c r="G9" s="167"/>
      <x:c r="H9" s="154" t="str">
        <x:v>No</x:v>
      </x:c>
      <x:c r="I9" s="154" t="str">
        <x:v>Built</x:v>
      </x:c>
      <x:c r="J9" s="155" t="str">
        <x:v>Canonical cache should suppress repeats.</x:v>
      </x:c>
      <x:c r="K9" s="138"/>
      <x:c r="L9" s="138"/>
      <x:c r="M9" s="138"/>
      <x:c r="N9" s="138"/>
      <x:c r="O9" s="138"/>
      <x:c r="P9" s="138"/>
      <x:c r="Q9" s="138"/>
      <x:c r="R9" s="138"/>
      <x:c r="S9" s="138"/>
      <x:c r="T9" s="138"/>
      <x:c r="U9" s="138"/>
      <x:c r="V9" s="138"/>
      <x:c r="W9" s="138"/>
      <x:c r="X9" s="138"/>
      <x:c r="Y9" s="138"/>
      <x:c r="Z9" s="138"/>
    </x:row>
    <x:row r="10">
      <x:c r="A10" s="152" t="str">
        <x:v>Import</x:v>
      </x:c>
      <x:c r="B10" s="154" t="str">
        <x:v>linkedin-profile-scraper</x:v>
      </x:c>
      <x:c r="C10" s="154" t="str">
        <x:v>Apify</x:v>
      </x:c>
      <x:c r="D10" s="167" t="n">
        <x:f>'Scenario Model'!B8</x:f>
        <x:v>40</x:v>
      </x:c>
      <x:c r="E10" s="167" t="n">
        <x:f>D10</x:f>
        <x:v>40</x:v>
      </x:c>
      <x:c r="F10" s="167" t="str">
        <x:v>Profile results</x:v>
      </x:c>
      <x:c r="G10" s="167"/>
      <x:c r="H10" s="154" t="str">
        <x:v>No</x:v>
      </x:c>
      <x:c r="I10" s="154" t="str">
        <x:v>Built</x:v>
      </x:c>
      <x:c r="J10" s="155" t="str">
        <x:v>Full profile resolution pipeline.</x:v>
      </x:c>
      <x:c r="K10" s="138"/>
      <x:c r="L10" s="138"/>
      <x:c r="M10" s="138"/>
      <x:c r="N10" s="138"/>
      <x:c r="O10" s="138"/>
      <x:c r="P10" s="138"/>
      <x:c r="Q10" s="138"/>
      <x:c r="R10" s="138"/>
      <x:c r="S10" s="138"/>
      <x:c r="T10" s="138"/>
      <x:c r="U10" s="138"/>
      <x:c r="V10" s="138"/>
      <x:c r="W10" s="138"/>
      <x:c r="X10" s="138"/>
      <x:c r="Y10" s="138"/>
      <x:c r="Z10" s="138"/>
    </x:row>
    <x:row r="11">
      <x:c r="A11" s="152" t="str">
        <x:v>Import</x:v>
      </x:c>
      <x:c r="B11" s="154" t="str">
        <x:v>linkedin-company actor</x:v>
      </x:c>
      <x:c r="C11" s="154" t="str">
        <x:v>Apify</x:v>
      </x:c>
      <x:c r="D11" s="167" t="n">
        <x:f>'Scenario Model'!B8/Assumptions!B30</x:f>
        <x:v>20</x:v>
      </x:c>
      <x:c r="E11" s="167" t="n">
        <x:f>ROUNDUP(D11,0)</x:f>
        <x:v>20</x:v>
      </x:c>
      <x:c r="F11" s="167" t="str">
        <x:v>Company results</x:v>
      </x:c>
      <x:c r="G11" s="167"/>
      <x:c r="H11" s="154" t="str">
        <x:v>No</x:v>
      </x:c>
      <x:c r="I11" s="154" t="str">
        <x:v>Built</x:v>
      </x:c>
      <x:c r="J11" s="155" t="str">
        <x:v>Deduplicate by company.</x:v>
      </x:c>
      <x:c r="K11" s="138"/>
      <x:c r="L11" s="138"/>
      <x:c r="M11" s="138"/>
      <x:c r="N11" s="138"/>
      <x:c r="O11" s="138"/>
      <x:c r="P11" s="138"/>
      <x:c r="Q11" s="138"/>
      <x:c r="R11" s="138"/>
      <x:c r="S11" s="138"/>
      <x:c r="T11" s="138"/>
      <x:c r="U11" s="138"/>
      <x:c r="V11" s="138"/>
      <x:c r="W11" s="138"/>
      <x:c r="X11" s="138"/>
      <x:c r="Y11" s="138"/>
      <x:c r="Z11" s="138"/>
    </x:row>
    <x:row r="12">
      <x:c r="A12" s="152" t="str">
        <x:v>Data</x:v>
      </x:c>
      <x:c r="B12" s="154" t="str">
        <x:v>mixed_companies/search</x:v>
      </x:c>
      <x:c r="C12" s="154" t="str">
        <x:v>Apollo</x:v>
      </x:c>
      <x:c r="D12" s="167" t="n">
        <x:f>ROUNDUP('Scenario Model'!B9/25,0)</x:f>
        <x:v>4</x:v>
      </x:c>
      <x:c r="E12" s="167" t="n">
        <x:f>D12</x:f>
        <x:v>4</x:v>
      </x:c>
      <x:c r="F12" s="167" t="str">
        <x:v>Search pages/results</x:v>
      </x:c>
      <x:c r="G12" s="167"/>
      <x:c r="H12" s="154" t="str">
        <x:v>No</x:v>
      </x:c>
      <x:c r="I12" s="154" t="str">
        <x:v>Built</x:v>
      </x:c>
      <x:c r="J12" s="155" t="str">
        <x:v>Roughly 25 companies/page.</x:v>
      </x:c>
      <x:c r="K12" s="138"/>
      <x:c r="L12" s="138"/>
      <x:c r="M12" s="138"/>
      <x:c r="N12" s="138"/>
      <x:c r="O12" s="138"/>
      <x:c r="P12" s="138"/>
      <x:c r="Q12" s="138"/>
      <x:c r="R12" s="138"/>
      <x:c r="S12" s="138"/>
      <x:c r="T12" s="138"/>
      <x:c r="U12" s="138"/>
      <x:c r="V12" s="138"/>
      <x:c r="W12" s="138"/>
      <x:c r="X12" s="138"/>
      <x:c r="Y12" s="138"/>
      <x:c r="Z12" s="138"/>
    </x:row>
    <x:row r="13">
      <x:c r="A13" s="152" t="str">
        <x:v>Data</x:v>
      </x:c>
      <x:c r="B13" s="154" t="str">
        <x:v>mixed_people/search</x:v>
      </x:c>
      <x:c r="C13" s="154" t="str">
        <x:v>Apollo</x:v>
      </x:c>
      <x:c r="D13" s="167" t="n">
        <x:f>ROUNDUP('Scenario Model'!B9/Assumptions!B30,0)</x:f>
        <x:v>50</x:v>
      </x:c>
      <x:c r="E13" s="167" t="n">
        <x:f>D13</x:f>
        <x:v>50</x:v>
      </x:c>
      <x:c r="F13" s="167" t="str">
        <x:v>Company searches</x:v>
      </x:c>
      <x:c r="G13" s="167"/>
      <x:c r="H13" s="154" t="str">
        <x:v>No</x:v>
      </x:c>
      <x:c r="I13" s="154" t="str">
        <x:v>Built</x:v>
      </x:c>
      <x:c r="J13" s="155" t="str">
        <x:v>One search per target company.</x:v>
      </x:c>
      <x:c r="K13" s="138"/>
      <x:c r="L13" s="138"/>
      <x:c r="M13" s="138"/>
      <x:c r="N13" s="138"/>
      <x:c r="O13" s="138"/>
      <x:c r="P13" s="138"/>
      <x:c r="Q13" s="138"/>
      <x:c r="R13" s="138"/>
      <x:c r="S13" s="138"/>
      <x:c r="T13" s="138"/>
      <x:c r="U13" s="138"/>
      <x:c r="V13" s="138"/>
      <x:c r="W13" s="138"/>
      <x:c r="X13" s="138"/>
      <x:c r="Y13" s="138"/>
      <x:c r="Z13" s="138"/>
    </x:row>
    <x:row r="14">
      <x:c r="A14" s="152" t="str">
        <x:v>Data</x:v>
      </x:c>
      <x:c r="B14" s="154" t="str">
        <x:v>Lead export/enrichment</x:v>
      </x:c>
      <x:c r="C14" s="154" t="str">
        <x:v>Apollo</x:v>
      </x:c>
      <x:c r="D14" s="167" t="n">
        <x:f>'Scenario Model'!B9</x:f>
        <x:v>100</x:v>
      </x:c>
      <x:c r="E14" s="167" t="n">
        <x:f>D14</x:f>
        <x:v>100</x:v>
      </x:c>
      <x:c r="F14" s="167" t="str">
        <x:v>Net-new leads</x:v>
      </x:c>
      <x:c r="G14" s="167" t="n">
        <x:f>D14*4</x:f>
        <x:v>400</x:v>
      </x:c>
      <x:c r="H14" s="154" t="str">
        <x:v>No</x:v>
      </x:c>
      <x:c r="I14" s="154" t="str">
        <x:v>Built</x:v>
      </x:c>
      <x:c r="J14" s="155" t="str">
        <x:v>Preflight against owned/canonical records first.</x:v>
      </x:c>
      <x:c r="K14" s="138"/>
      <x:c r="L14" s="138"/>
      <x:c r="M14" s="138"/>
      <x:c r="N14" s="138"/>
      <x:c r="O14" s="138"/>
      <x:c r="P14" s="138"/>
      <x:c r="Q14" s="138"/>
      <x:c r="R14" s="138"/>
      <x:c r="S14" s="138"/>
      <x:c r="T14" s="138"/>
      <x:c r="U14" s="138"/>
      <x:c r="V14" s="138"/>
      <x:c r="W14" s="138"/>
      <x:c r="X14" s="138"/>
      <x:c r="Y14" s="138"/>
      <x:c r="Z14" s="138"/>
    </x:row>
    <x:row r="15">
      <x:c r="A15" s="152" t="str">
        <x:v>Data</x:v>
      </x:c>
      <x:c r="B15" s="154" t="str">
        <x:v>Profile/company scrape</x:v>
      </x:c>
      <x:c r="C15" s="154" t="str">
        <x:v>Apify</x:v>
      </x:c>
      <x:c r="D15" s="167" t="n">
        <x:f>'Scenario Model'!B9</x:f>
        <x:v>100</x:v>
      </x:c>
      <x:c r="E15" s="167" t="n">
        <x:f>D15</x:f>
        <x:v>100</x:v>
      </x:c>
      <x:c r="F15" s="167" t="str">
        <x:v>Net-new leads/companies</x:v>
      </x:c>
      <x:c r="G15" s="167"/>
      <x:c r="H15" s="154" t="str">
        <x:v>No</x:v>
      </x:c>
      <x:c r="I15" s="154" t="str">
        <x:v>Built</x:v>
      </x:c>
      <x:c r="J15" s="155" t="str">
        <x:v>Only when cache is stale/missing.</x:v>
      </x:c>
      <x:c r="K15" s="138"/>
      <x:c r="L15" s="138"/>
      <x:c r="M15" s="138"/>
      <x:c r="N15" s="138"/>
      <x:c r="O15" s="138"/>
      <x:c r="P15" s="138"/>
      <x:c r="Q15" s="138"/>
      <x:c r="R15" s="138"/>
      <x:c r="S15" s="138"/>
      <x:c r="T15" s="138"/>
      <x:c r="U15" s="138"/>
      <x:c r="V15" s="138"/>
      <x:c r="W15" s="138"/>
      <x:c r="X15" s="138"/>
      <x:c r="Y15" s="138"/>
      <x:c r="Z15" s="138"/>
    </x:row>
    <x:row r="16">
      <x:c r="A16" s="152" t="str">
        <x:v>Email</x:v>
      </x:c>
      <x:c r="B16" s="154" t="str">
        <x:v>validate</x:v>
      </x:c>
      <x:c r="C16" s="154" t="str">
        <x:v>ZeroBounce</x:v>
      </x:c>
      <x:c r="D16" s="167" t="n">
        <x:f>'Scenario Model'!B10</x:f>
        <x:v>42</x:v>
      </x:c>
      <x:c r="E16" s="167" t="n">
        <x:f>D16</x:f>
        <x:v>42</x:v>
      </x:c>
      <x:c r="F16" s="167" t="str">
        <x:v>Billable validations</x:v>
      </x:c>
      <x:c r="G16" s="167" t="n">
        <x:f>D16*0.5</x:f>
        <x:v>21</x:v>
      </x:c>
      <x:c r="H16" s="154" t="str">
        <x:v>No</x:v>
      </x:c>
      <x:c r="I16" s="154" t="str">
        <x:v>Built</x:v>
      </x:c>
      <x:c r="J16" s="155" t="str">
        <x:v>Unknown result not billed.</x:v>
      </x:c>
      <x:c r="K16" s="138"/>
      <x:c r="L16" s="138"/>
      <x:c r="M16" s="138"/>
      <x:c r="N16" s="138"/>
      <x:c r="O16" s="138"/>
      <x:c r="P16" s="138"/>
      <x:c r="Q16" s="138"/>
      <x:c r="R16" s="138"/>
      <x:c r="S16" s="138"/>
      <x:c r="T16" s="138"/>
      <x:c r="U16" s="138"/>
      <x:c r="V16" s="138"/>
      <x:c r="W16" s="138"/>
      <x:c r="X16" s="138"/>
      <x:c r="Y16" s="138"/>
      <x:c r="Z16" s="138"/>
    </x:row>
    <x:row r="17">
      <x:c r="A17" s="152" t="str">
        <x:v>Email</x:v>
      </x:c>
      <x:c r="B17" s="154" t="str">
        <x:v>guessformat + validate</x:v>
      </x:c>
      <x:c r="C17" s="154" t="str">
        <x:v>ZeroBounce</x:v>
      </x:c>
      <x:c r="D17" s="167" t="n">
        <x:f>'Scenario Model'!B11</x:f>
        <x:v>10</x:v>
      </x:c>
      <x:c r="E17" s="167" t="n">
        <x:f>D17*2</x:f>
        <x:v>20</x:v>
      </x:c>
      <x:c r="F17" s="167" t="str">
        <x:v>Successful finds</x:v>
      </x:c>
      <x:c r="G17" s="167" t="n">
        <x:f>D17*11</x:f>
        <x:v>110</x:v>
      </x:c>
      <x:c r="H17" s="154" t="str">
        <x:v>No</x:v>
      </x:c>
      <x:c r="I17" s="154" t="str">
        <x:v>Built</x:v>
      </x:c>
      <x:c r="J17" s="155" t="str">
        <x:v>20 finder credits + validation.</x:v>
      </x:c>
      <x:c r="K17" s="138"/>
      <x:c r="L17" s="138"/>
      <x:c r="M17" s="138"/>
      <x:c r="N17" s="138"/>
      <x:c r="O17" s="138"/>
      <x:c r="P17" s="138"/>
      <x:c r="Q17" s="138"/>
      <x:c r="R17" s="138"/>
      <x:c r="S17" s="138"/>
      <x:c r="T17" s="138"/>
      <x:c r="U17" s="138"/>
      <x:c r="V17" s="138"/>
      <x:c r="W17" s="138"/>
      <x:c r="X17" s="138"/>
      <x:c r="Y17" s="138"/>
      <x:c r="Z17" s="138"/>
    </x:row>
    <x:row r="18">
      <x:c r="A18" s="152" t="str">
        <x:v>Phone</x:v>
      </x:c>
      <x:c r="B18" s="154" t="str">
        <x:v>people/match reveal_phone_number</x:v>
      </x:c>
      <x:c r="C18" s="154" t="str">
        <x:v>Apollo</x:v>
      </x:c>
      <x:c r="D18" s="167" t="n">
        <x:f>'Scenario Model'!B12</x:f>
        <x:v>25</x:v>
      </x:c>
      <x:c r="E18" s="167" t="n">
        <x:f>D18*2</x:f>
        <x:v>50</x:v>
      </x:c>
      <x:c r="F18" s="167" t="str">
        <x:v>Reveal requests</x:v>
      </x:c>
      <x:c r="G18" s="167" t="n">
        <x:f>D18*20</x:f>
        <x:v>500</x:v>
      </x:c>
      <x:c r="H18" s="154" t="str">
        <x:v>No</x:v>
      </x:c>
      <x:c r="I18" s="169" t="str">
        <x:v>Built but auto-triggered</x:v>
      </x:c>
      <x:c r="J18" s="170" t="str">
        <x:v>Must become explicit click.</x:v>
      </x:c>
      <x:c r="K18" s="138"/>
      <x:c r="L18" s="138"/>
      <x:c r="M18" s="138"/>
      <x:c r="N18" s="138"/>
      <x:c r="O18" s="138"/>
      <x:c r="P18" s="138"/>
      <x:c r="Q18" s="138"/>
      <x:c r="R18" s="138"/>
      <x:c r="S18" s="138"/>
      <x:c r="T18" s="138"/>
      <x:c r="U18" s="138"/>
      <x:c r="V18" s="138"/>
      <x:c r="W18" s="138"/>
      <x:c r="X18" s="138"/>
      <x:c r="Y18" s="138"/>
      <x:c r="Z18" s="138"/>
    </x:row>
    <x:row r="19">
      <x:c r="A19" s="152" t="str">
        <x:v>Monitoring</x:v>
      </x:c>
      <x:c r="B19" s="154" t="str">
        <x:v>linkedin-profile-scraper</x:v>
      </x:c>
      <x:c r="C19" s="154" t="str">
        <x:v>Apify</x:v>
      </x:c>
      <x:c r="D19" s="167" t="n">
        <x:f>'Scenario Model'!B14*'Scenario Model'!B17</x:f>
        <x:v>140</x:v>
      </x:c>
      <x:c r="E19" s="167" t="n">
        <x:f>D19</x:f>
        <x:v>140</x:v>
      </x:c>
      <x:c r="F19" s="167" t="str">
        <x:v>Contact sweeps</x:v>
      </x:c>
      <x:c r="G19" s="167" t="n">
        <x:v>0</x:v>
      </x:c>
      <x:c r="H19" s="154" t="str">
        <x:v>Plan</x:v>
      </x:c>
      <x:c r="I19" s="154" t="str">
        <x:v>Built</x:v>
      </x:c>
      <x:c r="J19" s="155" t="str">
        <x:v>Fit-gated; cadence by tier.</x:v>
      </x:c>
      <x:c r="K19" s="138"/>
      <x:c r="L19" s="138"/>
      <x:c r="M19" s="138"/>
      <x:c r="N19" s="138"/>
      <x:c r="O19" s="138"/>
      <x:c r="P19" s="138"/>
      <x:c r="Q19" s="138"/>
      <x:c r="R19" s="138"/>
      <x:c r="S19" s="138"/>
      <x:c r="T19" s="138"/>
      <x:c r="U19" s="138"/>
      <x:c r="V19" s="138"/>
      <x:c r="W19" s="138"/>
      <x:c r="X19" s="138"/>
      <x:c r="Y19" s="138"/>
      <x:c r="Z19" s="138"/>
    </x:row>
    <x:row r="20">
      <x:c r="A20" s="152" t="str">
        <x:v>Monitoring</x:v>
      </x:c>
      <x:c r="B20" s="154" t="str">
        <x:v>linkedin-jobs-scraper</x:v>
      </x:c>
      <x:c r="C20" s="154" t="str">
        <x:v>Apify</x:v>
      </x:c>
      <x:c r="D20" s="167" t="n">
        <x:f>'Scenario Model'!B15*'Scenario Model'!B17</x:f>
        <x:v>140</x:v>
      </x:c>
      <x:c r="E20" s="167" t="n">
        <x:f>'Scenario Model'!B17</x:f>
        <x:v>1</x:v>
      </x:c>
      <x:c r="F20" s="167" t="str">
        <x:v>Job records</x:v>
      </x:c>
      <x:c r="G20" s="167" t="n">
        <x:v>0</x:v>
      </x:c>
      <x:c r="H20" s="154" t="str">
        <x:v>Plan</x:v>
      </x:c>
      <x:c r="I20" s="154" t="str">
        <x:v>Built</x:v>
      </x:c>
      <x:c r="J20" s="155" t="str">
        <x:v>One batched actor run; 1,000-result cap.</x:v>
      </x:c>
      <x:c r="K20" s="138"/>
      <x:c r="L20" s="138"/>
      <x:c r="M20" s="138"/>
      <x:c r="N20" s="138"/>
      <x:c r="O20" s="138"/>
      <x:c r="P20" s="138"/>
      <x:c r="Q20" s="138"/>
      <x:c r="R20" s="138"/>
      <x:c r="S20" s="138"/>
      <x:c r="T20" s="138"/>
      <x:c r="U20" s="138"/>
      <x:c r="V20" s="138"/>
      <x:c r="W20" s="138"/>
      <x:c r="X20" s="138"/>
      <x:c r="Y20" s="138"/>
      <x:c r="Z20" s="138"/>
    </x:row>
    <x:row r="21">
      <x:c r="A21" s="152" t="str">
        <x:v>Monitoring</x:v>
      </x:c>
      <x:c r="B21" s="154" t="str">
        <x:v>Confirmed job-change refresh</x:v>
      </x:c>
      <x:c r="C21" s="154" t="str">
        <x:v>Apollo + Apify</x:v>
      </x:c>
      <x:c r="D21" s="167" t="n">
        <x:f>'Scenario Model'!B14*Assumptions!B27</x:f>
        <x:v>1.4000000000000001</x:v>
      </x:c>
      <x:c r="E21" s="167" t="n">
        <x:f>ROUNDUP(D21*2.3,0)</x:f>
        <x:v>4</x:v>
      </x:c>
      <x:c r="F21" s="167" t="str">
        <x:v>Changed contacts</x:v>
      </x:c>
      <x:c r="G21" s="167" t="n">
        <x:v>0</x:v>
      </x:c>
      <x:c r="H21" s="154" t="str">
        <x:v>Plan</x:v>
      </x:c>
      <x:c r="I21" s="154" t="str">
        <x:v>Built</x:v>
      </x:c>
      <x:c r="J21" s="155" t="str">
        <x:v>Only employer change triggers heavy refresh.</x:v>
      </x:c>
      <x:c r="K21" s="138"/>
      <x:c r="L21" s="138"/>
      <x:c r="M21" s="138"/>
      <x:c r="N21" s="138"/>
      <x:c r="O21" s="138"/>
      <x:c r="P21" s="138"/>
      <x:c r="Q21" s="138"/>
      <x:c r="R21" s="138"/>
      <x:c r="S21" s="138"/>
      <x:c r="T21" s="138"/>
      <x:c r="U21" s="138"/>
      <x:c r="V21" s="138"/>
      <x:c r="W21" s="138"/>
      <x:c r="X21" s="138"/>
      <x:c r="Y21" s="138"/>
      <x:c r="Z21" s="138"/>
    </x:row>
    <x:row r="22">
      <x:c r="A22" s="147" t="str">
        <x:v>Outreach</x:v>
      </x:c>
      <x:c r="B22" s="159" t="str">
        <x:v>Claude Sonnet sequence</x:v>
      </x:c>
      <x:c r="C22" s="159" t="str">
        <x:v>Anthropic</x:v>
      </x:c>
      <x:c r="D22" s="172" t="n">
        <x:f>'Scenario Model'!B13</x:f>
        <x:v>20</x:v>
      </x:c>
      <x:c r="E22" s="172" t="n">
        <x:f>D22</x:f>
        <x:v>20</x:v>
      </x:c>
      <x:c r="F22" s="172" t="str">
        <x:v>Sequences</x:v>
      </x:c>
      <x:c r="G22" s="172" t="n">
        <x:f>D22*5</x:f>
        <x:v>100</x:v>
      </x:c>
      <x:c r="H22" s="159" t="str">
        <x:v>No</x:v>
      </x:c>
      <x:c r="I22" s="159" t="str">
        <x:v>Built</x:v>
      </x:c>
      <x:c r="J22" s="149" t="str">
        <x:v>5 credits each; Starter 3/day, Growth 10/day. Lemlist controls sending.</x:v>
      </x:c>
      <x:c r="K22" s="138"/>
      <x:c r="L22" s="138"/>
      <x:c r="M22" s="138"/>
      <x:c r="N22" s="138"/>
      <x:c r="O22" s="138"/>
      <x:c r="P22" s="138"/>
      <x:c r="Q22" s="138"/>
      <x:c r="R22" s="138"/>
      <x:c r="S22" s="138"/>
      <x:c r="T22" s="138"/>
      <x:c r="U22" s="138"/>
      <x:c r="V22" s="138"/>
      <x:c r="W22" s="138"/>
      <x:c r="X22" s="138"/>
      <x:c r="Y22" s="138"/>
      <x:c r="Z22" s="138"/>
    </x:row>
    <x:row r="23">
      <x:c r="A23" s="138"/>
      <x:c r="B23" s="138"/>
      <x:c r="C23" s="138"/>
      <x:c r="D23" s="138"/>
      <x:c r="E23" s="138"/>
      <x:c r="F23" s="138"/>
      <x:c r="G23" s="138"/>
      <x:c r="H23" s="138"/>
      <x:c r="I23" s="138"/>
      <x:c r="J23" s="138"/>
      <x:c r="K23" s="138"/>
      <x:c r="L23" s="138"/>
      <x:c r="M23" s="138"/>
      <x:c r="N23" s="138"/>
      <x:c r="O23" s="138"/>
      <x:c r="P23" s="138"/>
      <x:c r="Q23" s="138"/>
      <x:c r="R23" s="138"/>
      <x:c r="S23" s="138"/>
      <x:c r="T23" s="138"/>
      <x:c r="U23" s="138"/>
      <x:c r="V23" s="138"/>
      <x:c r="W23" s="138"/>
      <x:c r="X23" s="138"/>
      <x:c r="Y23" s="138"/>
      <x:c r="Z23" s="138"/>
    </x:row>
    <x:row r="24">
      <x:c r="A24" s="138"/>
      <x:c r="B24" s="138"/>
      <x:c r="C24" s="138"/>
      <x:c r="D24" s="138"/>
      <x:c r="E24" s="138"/>
      <x:c r="F24" s="138"/>
      <x:c r="G24" s="138"/>
      <x:c r="H24" s="138"/>
      <x:c r="I24" s="138"/>
      <x:c r="J24" s="138"/>
      <x:c r="K24" s="138"/>
      <x:c r="L24" s="138"/>
      <x:c r="M24" s="138"/>
      <x:c r="N24" s="138"/>
      <x:c r="O24" s="138"/>
      <x:c r="P24" s="138"/>
      <x:c r="Q24" s="138"/>
      <x:c r="R24" s="138"/>
      <x:c r="S24" s="138"/>
      <x:c r="T24" s="138"/>
      <x:c r="U24" s="138"/>
      <x:c r="V24" s="138"/>
      <x:c r="W24" s="138"/>
      <x:c r="X24" s="138"/>
      <x:c r="Y24" s="138"/>
      <x:c r="Z24" s="138"/>
    </x:row>
    <x:row r="25">
      <x:c r="A25" s="138"/>
      <x:c r="B25" s="138"/>
      <x:c r="C25" s="138"/>
      <x:c r="D25" s="138"/>
      <x:c r="E25" s="138"/>
      <x:c r="F25" s="138"/>
      <x:c r="G25" s="138"/>
      <x:c r="H25" s="138"/>
      <x:c r="I25" s="138"/>
      <x:c r="J25" s="138"/>
      <x:c r="K25" s="138"/>
      <x:c r="L25" s="138"/>
      <x:c r="M25" s="138"/>
      <x:c r="N25" s="138"/>
      <x:c r="O25" s="138"/>
      <x:c r="P25" s="138"/>
      <x:c r="Q25" s="138"/>
      <x:c r="R25" s="138"/>
      <x:c r="S25" s="138"/>
      <x:c r="T25" s="138"/>
      <x:c r="U25" s="138"/>
      <x:c r="V25" s="138"/>
      <x:c r="W25" s="138"/>
      <x:c r="X25" s="138"/>
      <x:c r="Y25" s="138"/>
      <x:c r="Z25" s="138"/>
    </x:row>
    <x:row r="26">
      <x:c r="A26" s="138"/>
      <x:c r="B26" s="138"/>
      <x:c r="C26" s="138"/>
      <x:c r="D26" s="138"/>
      <x:c r="E26" s="138"/>
      <x:c r="F26" s="138"/>
      <x:c r="G26" s="138"/>
      <x:c r="H26" s="138"/>
      <x:c r="I26" s="138"/>
      <x:c r="J26" s="138"/>
      <x:c r="K26" s="138"/>
      <x:c r="L26" s="138"/>
      <x:c r="M26" s="138"/>
      <x:c r="N26" s="138"/>
      <x:c r="O26" s="138"/>
      <x:c r="P26" s="138"/>
      <x:c r="Q26" s="138"/>
      <x:c r="R26" s="138"/>
      <x:c r="S26" s="138"/>
      <x:c r="T26" s="138"/>
      <x:c r="U26" s="138"/>
      <x:c r="V26" s="138"/>
      <x:c r="W26" s="138"/>
      <x:c r="X26" s="138"/>
      <x:c r="Y26" s="138"/>
      <x:c r="Z26" s="138"/>
    </x:row>
    <x:row r="27">
      <x:c r="A27" s="138"/>
      <x:c r="B27" s="138"/>
      <x:c r="C27" s="138"/>
      <x:c r="D27" s="138"/>
      <x:c r="E27" s="138"/>
      <x:c r="F27" s="138"/>
      <x:c r="G27" s="138"/>
      <x:c r="H27" s="138"/>
      <x:c r="I27" s="138"/>
      <x:c r="J27" s="138"/>
      <x:c r="K27" s="138"/>
      <x:c r="L27" s="138"/>
      <x:c r="M27" s="138"/>
      <x:c r="N27" s="138"/>
      <x:c r="O27" s="138"/>
      <x:c r="P27" s="138"/>
      <x:c r="Q27" s="138"/>
      <x:c r="R27" s="138"/>
      <x:c r="S27" s="138"/>
      <x:c r="T27" s="138"/>
      <x:c r="U27" s="138"/>
      <x:c r="V27" s="138"/>
      <x:c r="W27" s="138"/>
      <x:c r="X27" s="138"/>
      <x:c r="Y27" s="138"/>
      <x:c r="Z27" s="138"/>
    </x:row>
    <x:row r="28">
      <x:c r="A28" s="138"/>
      <x:c r="B28" s="138"/>
      <x:c r="C28" s="138"/>
      <x:c r="D28" s="138"/>
      <x:c r="E28" s="138"/>
      <x:c r="F28" s="138"/>
      <x:c r="G28" s="138"/>
      <x:c r="H28" s="138"/>
      <x:c r="I28" s="138"/>
      <x:c r="J28" s="138"/>
      <x:c r="K28" s="138"/>
      <x:c r="L28" s="138"/>
      <x:c r="M28" s="138"/>
      <x:c r="N28" s="138"/>
      <x:c r="O28" s="138"/>
      <x:c r="P28" s="138"/>
      <x:c r="Q28" s="138"/>
      <x:c r="R28" s="138"/>
      <x:c r="S28" s="138"/>
      <x:c r="T28" s="138"/>
      <x:c r="U28" s="138"/>
      <x:c r="V28" s="138"/>
      <x:c r="W28" s="138"/>
      <x:c r="X28" s="138"/>
      <x:c r="Y28" s="138"/>
      <x:c r="Z28" s="138"/>
    </x:row>
    <x:row r="29">
      <x:c r="A29" s="138"/>
      <x:c r="B29" s="138"/>
      <x:c r="C29" s="138"/>
      <x:c r="D29" s="138"/>
      <x:c r="E29" s="138"/>
      <x:c r="F29" s="138"/>
      <x:c r="G29" s="138"/>
      <x:c r="H29" s="138"/>
      <x:c r="I29" s="138"/>
      <x:c r="J29" s="138"/>
      <x:c r="K29" s="138"/>
      <x:c r="L29" s="138"/>
      <x:c r="M29" s="138"/>
      <x:c r="N29" s="138"/>
      <x:c r="O29" s="138"/>
      <x:c r="P29" s="138"/>
      <x:c r="Q29" s="138"/>
      <x:c r="R29" s="138"/>
      <x:c r="S29" s="138"/>
      <x:c r="T29" s="138"/>
      <x:c r="U29" s="138"/>
      <x:c r="V29" s="138"/>
      <x:c r="W29" s="138"/>
      <x:c r="X29" s="138"/>
      <x:c r="Y29" s="138"/>
      <x:c r="Z29" s="138"/>
    </x:row>
    <x:row r="30">
      <x:c r="A30" s="138"/>
      <x:c r="B30" s="138"/>
      <x:c r="C30" s="138"/>
      <x:c r="D30" s="138"/>
      <x:c r="E30" s="138"/>
      <x:c r="F30" s="138"/>
      <x:c r="G30" s="138"/>
      <x:c r="H30" s="138"/>
      <x:c r="I30" s="138"/>
      <x:c r="J30" s="138"/>
      <x:c r="K30" s="138"/>
      <x:c r="L30" s="138"/>
      <x:c r="M30" s="138"/>
      <x:c r="N30" s="138"/>
      <x:c r="O30" s="138"/>
      <x:c r="P30" s="138"/>
      <x:c r="Q30" s="138"/>
      <x:c r="R30" s="138"/>
      <x:c r="S30" s="138"/>
      <x:c r="T30" s="138"/>
      <x:c r="U30" s="138"/>
      <x:c r="V30" s="138"/>
      <x:c r="W30" s="138"/>
      <x:c r="X30" s="138"/>
      <x:c r="Y30" s="138"/>
      <x:c r="Z30" s="138"/>
    </x:row>
    <x:row r="31">
      <x:c r="A31" s="138"/>
      <x:c r="B31" s="138"/>
      <x:c r="C31" s="138"/>
      <x:c r="D31" s="138"/>
      <x:c r="E31" s="138"/>
      <x:c r="F31" s="138"/>
      <x:c r="G31" s="138"/>
      <x:c r="H31" s="138"/>
      <x:c r="I31" s="138"/>
      <x:c r="J31" s="138"/>
      <x:c r="K31" s="138"/>
      <x:c r="L31" s="138"/>
      <x:c r="M31" s="138"/>
      <x:c r="N31" s="138"/>
      <x:c r="O31" s="138"/>
      <x:c r="P31" s="138"/>
      <x:c r="Q31" s="138"/>
      <x:c r="R31" s="138"/>
      <x:c r="S31" s="138"/>
      <x:c r="T31" s="138"/>
      <x:c r="U31" s="138"/>
      <x:c r="V31" s="138"/>
      <x:c r="W31" s="138"/>
      <x:c r="X31" s="138"/>
      <x:c r="Y31" s="138"/>
      <x:c r="Z31" s="138"/>
    </x:row>
    <x:row r="32">
      <x:c r="A32" s="138"/>
      <x:c r="B32" s="138"/>
      <x:c r="C32" s="138"/>
      <x:c r="D32" s="138"/>
      <x:c r="E32" s="138"/>
      <x:c r="F32" s="138"/>
      <x:c r="G32" s="138"/>
      <x:c r="H32" s="138"/>
      <x:c r="I32" s="138"/>
      <x:c r="J32" s="138"/>
      <x:c r="K32" s="138"/>
      <x:c r="L32" s="138"/>
      <x:c r="M32" s="138"/>
      <x:c r="N32" s="138"/>
      <x:c r="O32" s="138"/>
      <x:c r="P32" s="138"/>
      <x:c r="Q32" s="138"/>
      <x:c r="R32" s="138"/>
      <x:c r="S32" s="138"/>
      <x:c r="T32" s="138"/>
      <x:c r="U32" s="138"/>
      <x:c r="V32" s="138"/>
      <x:c r="W32" s="138"/>
      <x:c r="X32" s="138"/>
      <x:c r="Y32" s="138"/>
      <x:c r="Z32" s="138"/>
    </x:row>
    <x:row r="33">
      <x:c r="A33" s="138"/>
      <x:c r="B33" s="138"/>
      <x:c r="C33" s="138"/>
      <x:c r="D33" s="138"/>
      <x:c r="E33" s="138"/>
      <x:c r="F33" s="138"/>
      <x:c r="G33" s="138"/>
      <x:c r="H33" s="138"/>
      <x:c r="I33" s="138"/>
      <x:c r="J33" s="138"/>
      <x:c r="K33" s="138"/>
      <x:c r="L33" s="138"/>
      <x:c r="M33" s="138"/>
      <x:c r="N33" s="138"/>
      <x:c r="O33" s="138"/>
      <x:c r="P33" s="138"/>
      <x:c r="Q33" s="138"/>
      <x:c r="R33" s="138"/>
      <x:c r="S33" s="138"/>
      <x:c r="T33" s="138"/>
      <x:c r="U33" s="138"/>
      <x:c r="V33" s="138"/>
      <x:c r="W33" s="138"/>
      <x:c r="X33" s="138"/>
      <x:c r="Y33" s="138"/>
      <x:c r="Z33" s="138"/>
    </x:row>
    <x:row r="34">
      <x:c r="A34" s="138"/>
      <x:c r="B34" s="138"/>
      <x:c r="C34" s="138"/>
      <x:c r="D34" s="138"/>
      <x:c r="E34" s="138"/>
      <x:c r="F34" s="138"/>
      <x:c r="G34" s="138"/>
      <x:c r="H34" s="138"/>
      <x:c r="I34" s="138"/>
      <x:c r="J34" s="138"/>
      <x:c r="K34" s="138"/>
      <x:c r="L34" s="138"/>
      <x:c r="M34" s="138"/>
      <x:c r="N34" s="138"/>
      <x:c r="O34" s="138"/>
      <x:c r="P34" s="138"/>
      <x:c r="Q34" s="138"/>
      <x:c r="R34" s="138"/>
      <x:c r="S34" s="138"/>
      <x:c r="T34" s="138"/>
      <x:c r="U34" s="138"/>
      <x:c r="V34" s="138"/>
      <x:c r="W34" s="138"/>
      <x:c r="X34" s="138"/>
      <x:c r="Y34" s="138"/>
      <x:c r="Z34" s="138"/>
    </x:row>
    <x:row r="35">
      <x:c r="A35" s="138"/>
      <x:c r="B35" s="138"/>
      <x:c r="C35" s="138"/>
      <x:c r="D35" s="138"/>
      <x:c r="E35" s="138"/>
      <x:c r="F35" s="138"/>
      <x:c r="G35" s="138"/>
      <x:c r="H35" s="138"/>
      <x:c r="I35" s="138"/>
      <x:c r="J35" s="138"/>
      <x:c r="K35" s="138"/>
      <x:c r="L35" s="138"/>
      <x:c r="M35" s="138"/>
      <x:c r="N35" s="138"/>
      <x:c r="O35" s="138"/>
      <x:c r="P35" s="138"/>
      <x:c r="Q35" s="138"/>
      <x:c r="R35" s="138"/>
      <x:c r="S35" s="138"/>
      <x:c r="T35" s="138"/>
      <x:c r="U35" s="138"/>
      <x:c r="V35" s="138"/>
      <x:c r="W35" s="138"/>
      <x:c r="X35" s="138"/>
      <x:c r="Y35" s="138"/>
      <x:c r="Z35" s="138"/>
    </x:row>
    <x:row r="36">
      <x:c r="A36" s="138"/>
      <x:c r="B36" s="138"/>
      <x:c r="C36" s="138"/>
      <x:c r="D36" s="138"/>
      <x:c r="E36" s="138"/>
      <x:c r="F36" s="138"/>
      <x:c r="G36" s="138"/>
      <x:c r="H36" s="138"/>
      <x:c r="I36" s="138"/>
      <x:c r="J36" s="138"/>
      <x:c r="K36" s="138"/>
      <x:c r="L36" s="138"/>
      <x:c r="M36" s="138"/>
      <x:c r="N36" s="138"/>
      <x:c r="O36" s="138"/>
      <x:c r="P36" s="138"/>
      <x:c r="Q36" s="138"/>
      <x:c r="R36" s="138"/>
      <x:c r="S36" s="138"/>
      <x:c r="T36" s="138"/>
      <x:c r="U36" s="138"/>
      <x:c r="V36" s="138"/>
      <x:c r="W36" s="138"/>
      <x:c r="X36" s="138"/>
      <x:c r="Y36" s="138"/>
      <x:c r="Z36" s="138"/>
    </x:row>
    <x:row r="37">
      <x:c r="A37" s="138"/>
      <x:c r="B37" s="138"/>
      <x:c r="C37" s="138"/>
      <x:c r="D37" s="138"/>
      <x:c r="E37" s="138"/>
      <x:c r="F37" s="138"/>
      <x:c r="G37" s="138"/>
      <x:c r="H37" s="138"/>
      <x:c r="I37" s="138"/>
      <x:c r="J37" s="138"/>
      <x:c r="K37" s="138"/>
      <x:c r="L37" s="138"/>
      <x:c r="M37" s="138"/>
      <x:c r="N37" s="138"/>
      <x:c r="O37" s="138"/>
      <x:c r="P37" s="138"/>
      <x:c r="Q37" s="138"/>
      <x:c r="R37" s="138"/>
      <x:c r="S37" s="138"/>
      <x:c r="T37" s="138"/>
      <x:c r="U37" s="138"/>
      <x:c r="V37" s="138"/>
      <x:c r="W37" s="138"/>
      <x:c r="X37" s="138"/>
      <x:c r="Y37" s="138"/>
      <x:c r="Z37" s="138"/>
    </x:row>
    <x:row r="38">
      <x:c r="A38" s="138"/>
      <x:c r="B38" s="138"/>
      <x:c r="C38" s="138"/>
      <x:c r="D38" s="138"/>
      <x:c r="E38" s="138"/>
      <x:c r="F38" s="138"/>
      <x:c r="G38" s="138"/>
      <x:c r="H38" s="138"/>
      <x:c r="I38" s="138"/>
      <x:c r="J38" s="138"/>
      <x:c r="K38" s="138"/>
      <x:c r="L38" s="138"/>
      <x:c r="M38" s="138"/>
      <x:c r="N38" s="138"/>
      <x:c r="O38" s="138"/>
      <x:c r="P38" s="138"/>
      <x:c r="Q38" s="138"/>
      <x:c r="R38" s="138"/>
      <x:c r="S38" s="138"/>
      <x:c r="T38" s="138"/>
      <x:c r="U38" s="138"/>
      <x:c r="V38" s="138"/>
      <x:c r="W38" s="138"/>
      <x:c r="X38" s="138"/>
      <x:c r="Y38" s="138"/>
      <x:c r="Z38" s="138"/>
    </x:row>
    <x:row r="39">
      <x:c r="A39" s="138"/>
      <x:c r="B39" s="138"/>
      <x:c r="C39" s="138"/>
      <x:c r="D39" s="138"/>
      <x:c r="E39" s="138"/>
      <x:c r="F39" s="138"/>
      <x:c r="G39" s="138"/>
      <x:c r="H39" s="138"/>
      <x:c r="I39" s="138"/>
      <x:c r="J39" s="138"/>
      <x:c r="K39" s="138"/>
      <x:c r="L39" s="138"/>
      <x:c r="M39" s="138"/>
      <x:c r="N39" s="138"/>
      <x:c r="O39" s="138"/>
      <x:c r="P39" s="138"/>
      <x:c r="Q39" s="138"/>
      <x:c r="R39" s="138"/>
      <x:c r="S39" s="138"/>
      <x:c r="T39" s="138"/>
      <x:c r="U39" s="138"/>
      <x:c r="V39" s="138"/>
      <x:c r="W39" s="138"/>
      <x:c r="X39" s="138"/>
      <x:c r="Y39" s="138"/>
      <x:c r="Z39" s="138"/>
    </x:row>
    <x:row r="40">
      <x:c r="A40" s="138"/>
      <x:c r="B40" s="138"/>
      <x:c r="C40" s="138"/>
      <x:c r="D40" s="138"/>
      <x:c r="E40" s="138"/>
      <x:c r="F40" s="138"/>
      <x:c r="G40" s="138"/>
      <x:c r="H40" s="138"/>
      <x:c r="I40" s="138"/>
      <x:c r="J40" s="138"/>
      <x:c r="K40" s="138"/>
      <x:c r="L40" s="138"/>
      <x:c r="M40" s="138"/>
      <x:c r="N40" s="138"/>
      <x:c r="O40" s="138"/>
      <x:c r="P40" s="138"/>
      <x:c r="Q40" s="138"/>
      <x:c r="R40" s="138"/>
      <x:c r="S40" s="138"/>
      <x:c r="T40" s="138"/>
      <x:c r="U40" s="138"/>
      <x:c r="V40" s="138"/>
      <x:c r="W40" s="138"/>
      <x:c r="X40" s="138"/>
      <x:c r="Y40" s="138"/>
      <x:c r="Z40" s="138"/>
    </x:row>
    <x:row r="41">
      <x:c r="A41" s="138"/>
      <x:c r="B41" s="138"/>
      <x:c r="C41" s="138"/>
      <x:c r="D41" s="138"/>
      <x:c r="E41" s="138"/>
      <x:c r="F41" s="138"/>
      <x:c r="G41" s="138"/>
      <x:c r="H41" s="138"/>
      <x:c r="I41" s="138"/>
      <x:c r="J41" s="138"/>
      <x:c r="K41" s="138"/>
      <x:c r="L41" s="138"/>
      <x:c r="M41" s="138"/>
      <x:c r="N41" s="138"/>
      <x:c r="O41" s="138"/>
      <x:c r="P41" s="138"/>
      <x:c r="Q41" s="138"/>
      <x:c r="R41" s="138"/>
      <x:c r="S41" s="138"/>
      <x:c r="T41" s="138"/>
      <x:c r="U41" s="138"/>
      <x:c r="V41" s="138"/>
      <x:c r="W41" s="138"/>
      <x:c r="X41" s="138"/>
      <x:c r="Y41" s="138"/>
      <x:c r="Z41" s="138"/>
    </x:row>
    <x:row r="42">
      <x:c r="A42" s="138"/>
      <x:c r="B42" s="138"/>
      <x:c r="C42" s="138"/>
      <x:c r="D42" s="138"/>
      <x:c r="E42" s="138"/>
      <x:c r="F42" s="138"/>
      <x:c r="G42" s="138"/>
      <x:c r="H42" s="138"/>
      <x:c r="I42" s="138"/>
      <x:c r="J42" s="138"/>
      <x:c r="K42" s="138"/>
      <x:c r="L42" s="138"/>
      <x:c r="M42" s="138"/>
      <x:c r="N42" s="138"/>
      <x:c r="O42" s="138"/>
      <x:c r="P42" s="138"/>
      <x:c r="Q42" s="138"/>
      <x:c r="R42" s="138"/>
      <x:c r="S42" s="138"/>
      <x:c r="T42" s="138"/>
      <x:c r="U42" s="138"/>
      <x:c r="V42" s="138"/>
      <x:c r="W42" s="138"/>
      <x:c r="X42" s="138"/>
      <x:c r="Y42" s="138"/>
      <x:c r="Z42" s="138"/>
    </x:row>
    <x:row r="43">
      <x:c r="A43" s="138"/>
      <x:c r="B43" s="138"/>
      <x:c r="C43" s="138"/>
      <x:c r="D43" s="138"/>
      <x:c r="E43" s="138"/>
      <x:c r="F43" s="138"/>
      <x:c r="G43" s="138"/>
      <x:c r="H43" s="138"/>
      <x:c r="I43" s="138"/>
      <x:c r="J43" s="138"/>
      <x:c r="K43" s="138"/>
      <x:c r="L43" s="138"/>
      <x:c r="M43" s="138"/>
      <x:c r="N43" s="138"/>
      <x:c r="O43" s="138"/>
      <x:c r="P43" s="138"/>
      <x:c r="Q43" s="138"/>
      <x:c r="R43" s="138"/>
      <x:c r="S43" s="138"/>
      <x:c r="T43" s="138"/>
      <x:c r="U43" s="138"/>
      <x:c r="V43" s="138"/>
      <x:c r="W43" s="138"/>
      <x:c r="X43" s="138"/>
      <x:c r="Y43" s="138"/>
      <x:c r="Z43" s="138"/>
    </x:row>
    <x:row r="44">
      <x:c r="A44" s="138"/>
      <x:c r="B44" s="138"/>
      <x:c r="C44" s="138"/>
      <x:c r="D44" s="138"/>
      <x:c r="E44" s="138"/>
      <x:c r="F44" s="138"/>
      <x:c r="G44" s="138"/>
      <x:c r="H44" s="138"/>
      <x:c r="I44" s="138"/>
      <x:c r="J44" s="138"/>
      <x:c r="K44" s="138"/>
      <x:c r="L44" s="138"/>
      <x:c r="M44" s="138"/>
      <x:c r="N44" s="138"/>
      <x:c r="O44" s="138"/>
      <x:c r="P44" s="138"/>
      <x:c r="Q44" s="138"/>
      <x:c r="R44" s="138"/>
      <x:c r="S44" s="138"/>
      <x:c r="T44" s="138"/>
      <x:c r="U44" s="138"/>
      <x:c r="V44" s="138"/>
      <x:c r="W44" s="138"/>
      <x:c r="X44" s="138"/>
      <x:c r="Y44" s="138"/>
      <x:c r="Z44" s="138"/>
    </x:row>
    <x:row r="45">
      <x:c r="A45" s="138"/>
      <x:c r="B45" s="138"/>
      <x:c r="C45" s="138"/>
      <x:c r="D45" s="138"/>
      <x:c r="E45" s="138"/>
      <x:c r="F45" s="138"/>
      <x:c r="G45" s="138"/>
      <x:c r="H45" s="138"/>
      <x:c r="I45" s="138"/>
      <x:c r="J45" s="138"/>
      <x:c r="K45" s="138"/>
      <x:c r="L45" s="138"/>
      <x:c r="M45" s="138"/>
      <x:c r="N45" s="138"/>
      <x:c r="O45" s="138"/>
      <x:c r="P45" s="138"/>
      <x:c r="Q45" s="138"/>
      <x:c r="R45" s="138"/>
      <x:c r="S45" s="138"/>
      <x:c r="T45" s="138"/>
      <x:c r="U45" s="138"/>
      <x:c r="V45" s="138"/>
      <x:c r="W45" s="138"/>
      <x:c r="X45" s="138"/>
      <x:c r="Y45" s="138"/>
      <x:c r="Z45" s="138"/>
    </x:row>
    <x:row r="46">
      <x:c r="A46" s="138"/>
      <x:c r="B46" s="138"/>
      <x:c r="C46" s="138"/>
      <x:c r="D46" s="138"/>
      <x:c r="E46" s="138"/>
      <x:c r="F46" s="138"/>
      <x:c r="G46" s="138"/>
      <x:c r="H46" s="138"/>
      <x:c r="I46" s="138"/>
      <x:c r="J46" s="138"/>
      <x:c r="K46" s="138"/>
      <x:c r="L46" s="138"/>
      <x:c r="M46" s="138"/>
      <x:c r="N46" s="138"/>
      <x:c r="O46" s="138"/>
      <x:c r="P46" s="138"/>
      <x:c r="Q46" s="138"/>
      <x:c r="R46" s="138"/>
      <x:c r="S46" s="138"/>
      <x:c r="T46" s="138"/>
      <x:c r="U46" s="138"/>
      <x:c r="V46" s="138"/>
      <x:c r="W46" s="138"/>
      <x:c r="X46" s="138"/>
      <x:c r="Y46" s="138"/>
      <x:c r="Z46" s="138"/>
    </x:row>
    <x:row r="47">
      <x:c r="A47" s="138"/>
      <x:c r="B47" s="138"/>
      <x:c r="C47" s="138"/>
      <x:c r="D47" s="138"/>
      <x:c r="E47" s="138"/>
      <x:c r="F47" s="138"/>
      <x:c r="G47" s="138"/>
      <x:c r="H47" s="138"/>
      <x:c r="I47" s="138"/>
      <x:c r="J47" s="138"/>
      <x:c r="K47" s="138"/>
      <x:c r="L47" s="138"/>
      <x:c r="M47" s="138"/>
      <x:c r="N47" s="138"/>
      <x:c r="O47" s="138"/>
      <x:c r="P47" s="138"/>
      <x:c r="Q47" s="138"/>
      <x:c r="R47" s="138"/>
      <x:c r="S47" s="138"/>
      <x:c r="T47" s="138"/>
      <x:c r="U47" s="138"/>
      <x:c r="V47" s="138"/>
      <x:c r="W47" s="138"/>
      <x:c r="X47" s="138"/>
      <x:c r="Y47" s="138"/>
      <x:c r="Z47" s="138"/>
    </x:row>
    <x:row r="48">
      <x:c r="A48" s="138"/>
      <x:c r="B48" s="138"/>
      <x:c r="C48" s="138"/>
      <x:c r="D48" s="138"/>
      <x:c r="E48" s="138"/>
      <x:c r="F48" s="138"/>
      <x:c r="G48" s="138"/>
      <x:c r="H48" s="138"/>
      <x:c r="I48" s="138"/>
      <x:c r="J48" s="138"/>
      <x:c r="K48" s="138"/>
      <x:c r="L48" s="138"/>
      <x:c r="M48" s="138"/>
      <x:c r="N48" s="138"/>
      <x:c r="O48" s="138"/>
      <x:c r="P48" s="138"/>
      <x:c r="Q48" s="138"/>
      <x:c r="R48" s="138"/>
      <x:c r="S48" s="138"/>
      <x:c r="T48" s="138"/>
      <x:c r="U48" s="138"/>
      <x:c r="V48" s="138"/>
      <x:c r="W48" s="138"/>
      <x:c r="X48" s="138"/>
      <x:c r="Y48" s="138"/>
      <x:c r="Z48" s="138"/>
    </x:row>
    <x:row r="49">
      <x:c r="A49" s="138"/>
      <x:c r="B49" s="138"/>
      <x:c r="C49" s="138"/>
      <x:c r="D49" s="138"/>
      <x:c r="E49" s="138"/>
      <x:c r="F49" s="138"/>
      <x:c r="G49" s="138"/>
      <x:c r="H49" s="138"/>
      <x:c r="I49" s="138"/>
      <x:c r="J49" s="138"/>
      <x:c r="K49" s="138"/>
      <x:c r="L49" s="138"/>
      <x:c r="M49" s="138"/>
      <x:c r="N49" s="138"/>
      <x:c r="O49" s="138"/>
      <x:c r="P49" s="138"/>
      <x:c r="Q49" s="138"/>
      <x:c r="R49" s="138"/>
      <x:c r="S49" s="138"/>
      <x:c r="T49" s="138"/>
      <x:c r="U49" s="138"/>
      <x:c r="V49" s="138"/>
      <x:c r="W49" s="138"/>
      <x:c r="X49" s="138"/>
      <x:c r="Y49" s="138"/>
      <x:c r="Z49" s="138"/>
    </x:row>
    <x:row r="50">
      <x:c r="A50" s="138"/>
      <x:c r="B50" s="138"/>
      <x:c r="C50" s="138"/>
      <x:c r="D50" s="138"/>
      <x:c r="E50" s="138"/>
      <x:c r="F50" s="138"/>
      <x:c r="G50" s="138"/>
      <x:c r="H50" s="138"/>
      <x:c r="I50" s="138"/>
      <x:c r="J50" s="138"/>
      <x:c r="K50" s="138"/>
      <x:c r="L50" s="138"/>
      <x:c r="M50" s="138"/>
      <x:c r="N50" s="138"/>
      <x:c r="O50" s="138"/>
      <x:c r="P50" s="138"/>
      <x:c r="Q50" s="138"/>
      <x:c r="R50" s="138"/>
      <x:c r="S50" s="138"/>
      <x:c r="T50" s="138"/>
      <x:c r="U50" s="138"/>
      <x:c r="V50" s="138"/>
      <x:c r="W50" s="138"/>
      <x:c r="X50" s="138"/>
      <x:c r="Y50" s="138"/>
      <x:c r="Z50" s="138"/>
    </x:row>
    <x:row r="51">
      <x:c r="A51" s="138"/>
      <x:c r="B51" s="138"/>
      <x:c r="C51" s="138"/>
      <x:c r="D51" s="138"/>
      <x:c r="E51" s="138"/>
      <x:c r="F51" s="138"/>
      <x:c r="G51" s="138"/>
      <x:c r="H51" s="138"/>
      <x:c r="I51" s="138"/>
      <x:c r="J51" s="138"/>
      <x:c r="K51" s="138"/>
      <x:c r="L51" s="138"/>
      <x:c r="M51" s="138"/>
      <x:c r="N51" s="138"/>
      <x:c r="O51" s="138"/>
      <x:c r="P51" s="138"/>
      <x:c r="Q51" s="138"/>
      <x:c r="R51" s="138"/>
      <x:c r="S51" s="138"/>
      <x:c r="T51" s="138"/>
      <x:c r="U51" s="138"/>
      <x:c r="V51" s="138"/>
      <x:c r="W51" s="138"/>
      <x:c r="X51" s="138"/>
      <x:c r="Y51" s="138"/>
      <x:c r="Z51" s="138"/>
    </x:row>
    <x:row r="52">
      <x:c r="A52" s="138"/>
      <x:c r="B52" s="138"/>
      <x:c r="C52" s="138"/>
      <x:c r="D52" s="138"/>
      <x:c r="E52" s="138"/>
      <x:c r="F52" s="138"/>
      <x:c r="G52" s="138"/>
      <x:c r="H52" s="138"/>
      <x:c r="I52" s="138"/>
      <x:c r="J52" s="138"/>
      <x:c r="K52" s="138"/>
      <x:c r="L52" s="138"/>
      <x:c r="M52" s="138"/>
      <x:c r="N52" s="138"/>
      <x:c r="O52" s="138"/>
      <x:c r="P52" s="138"/>
      <x:c r="Q52" s="138"/>
      <x:c r="R52" s="138"/>
      <x:c r="S52" s="138"/>
      <x:c r="T52" s="138"/>
      <x:c r="U52" s="138"/>
      <x:c r="V52" s="138"/>
      <x:c r="W52" s="138"/>
      <x:c r="X52" s="138"/>
      <x:c r="Y52" s="138"/>
      <x:c r="Z52" s="138"/>
    </x:row>
    <x:row r="53">
      <x:c r="A53" s="138"/>
      <x:c r="B53" s="138"/>
      <x:c r="C53" s="138"/>
      <x:c r="D53" s="138"/>
      <x:c r="E53" s="138"/>
      <x:c r="F53" s="138"/>
      <x:c r="G53" s="138"/>
      <x:c r="H53" s="138"/>
      <x:c r="I53" s="138"/>
      <x:c r="J53" s="138"/>
      <x:c r="K53" s="138"/>
      <x:c r="L53" s="138"/>
      <x:c r="M53" s="138"/>
      <x:c r="N53" s="138"/>
      <x:c r="O53" s="138"/>
      <x:c r="P53" s="138"/>
      <x:c r="Q53" s="138"/>
      <x:c r="R53" s="138"/>
      <x:c r="S53" s="138"/>
      <x:c r="T53" s="138"/>
      <x:c r="U53" s="138"/>
      <x:c r="V53" s="138"/>
      <x:c r="W53" s="138"/>
      <x:c r="X53" s="138"/>
      <x:c r="Y53" s="138"/>
      <x:c r="Z53" s="138"/>
    </x:row>
    <x:row r="54">
      <x:c r="A54" s="138"/>
      <x:c r="B54" s="138"/>
      <x:c r="C54" s="138"/>
      <x:c r="D54" s="138"/>
      <x:c r="E54" s="138"/>
      <x:c r="F54" s="138"/>
      <x:c r="G54" s="138"/>
      <x:c r="H54" s="138"/>
      <x:c r="I54" s="138"/>
      <x:c r="J54" s="138"/>
      <x:c r="K54" s="138"/>
      <x:c r="L54" s="138"/>
      <x:c r="M54" s="138"/>
      <x:c r="N54" s="138"/>
      <x:c r="O54" s="138"/>
      <x:c r="P54" s="138"/>
      <x:c r="Q54" s="138"/>
      <x:c r="R54" s="138"/>
      <x:c r="S54" s="138"/>
      <x:c r="T54" s="138"/>
      <x:c r="U54" s="138"/>
      <x:c r="V54" s="138"/>
      <x:c r="W54" s="138"/>
      <x:c r="X54" s="138"/>
      <x:c r="Y54" s="138"/>
      <x:c r="Z54" s="138"/>
    </x:row>
    <x:row r="55">
      <x:c r="A55" s="138"/>
      <x:c r="B55" s="138"/>
      <x:c r="C55" s="138"/>
      <x:c r="D55" s="138"/>
      <x:c r="E55" s="138"/>
      <x:c r="F55" s="138"/>
      <x:c r="G55" s="138"/>
      <x:c r="H55" s="138"/>
      <x:c r="I55" s="138"/>
      <x:c r="J55" s="138"/>
      <x:c r="K55" s="138"/>
      <x:c r="L55" s="138"/>
      <x:c r="M55" s="138"/>
      <x:c r="N55" s="138"/>
      <x:c r="O55" s="138"/>
      <x:c r="P55" s="138"/>
      <x:c r="Q55" s="138"/>
      <x:c r="R55" s="138"/>
      <x:c r="S55" s="138"/>
      <x:c r="T55" s="138"/>
      <x:c r="U55" s="138"/>
      <x:c r="V55" s="138"/>
      <x:c r="W55" s="138"/>
      <x:c r="X55" s="138"/>
      <x:c r="Y55" s="138"/>
      <x:c r="Z55" s="138"/>
    </x:row>
    <x:row r="56">
      <x:c r="A56" s="138"/>
      <x:c r="B56" s="138"/>
      <x:c r="C56" s="138"/>
      <x:c r="D56" s="138"/>
      <x:c r="E56" s="138"/>
      <x:c r="F56" s="138"/>
      <x:c r="G56" s="138"/>
      <x:c r="H56" s="138"/>
      <x:c r="I56" s="138"/>
      <x:c r="J56" s="138"/>
      <x:c r="K56" s="138"/>
      <x:c r="L56" s="138"/>
      <x:c r="M56" s="138"/>
      <x:c r="N56" s="138"/>
      <x:c r="O56" s="138"/>
      <x:c r="P56" s="138"/>
      <x:c r="Q56" s="138"/>
      <x:c r="R56" s="138"/>
      <x:c r="S56" s="138"/>
      <x:c r="T56" s="138"/>
      <x:c r="U56" s="138"/>
      <x:c r="V56" s="138"/>
      <x:c r="W56" s="138"/>
      <x:c r="X56" s="138"/>
      <x:c r="Y56" s="138"/>
      <x:c r="Z56" s="138"/>
    </x:row>
    <x:row r="57">
      <x:c r="A57" s="138"/>
      <x:c r="B57" s="138"/>
      <x:c r="C57" s="138"/>
      <x:c r="D57" s="138"/>
      <x:c r="E57" s="138"/>
      <x:c r="F57" s="138"/>
      <x:c r="G57" s="138"/>
      <x:c r="H57" s="138"/>
      <x:c r="I57" s="138"/>
      <x:c r="J57" s="138"/>
      <x:c r="K57" s="138"/>
      <x:c r="L57" s="138"/>
      <x:c r="M57" s="138"/>
      <x:c r="N57" s="138"/>
      <x:c r="O57" s="138"/>
      <x:c r="P57" s="138"/>
      <x:c r="Q57" s="138"/>
      <x:c r="R57" s="138"/>
      <x:c r="S57" s="138"/>
      <x:c r="T57" s="138"/>
      <x:c r="U57" s="138"/>
      <x:c r="V57" s="138"/>
      <x:c r="W57" s="138"/>
      <x:c r="X57" s="138"/>
      <x:c r="Y57" s="138"/>
      <x:c r="Z57" s="138"/>
    </x:row>
    <x:row r="58">
      <x:c r="A58" s="138"/>
      <x:c r="B58" s="138"/>
      <x:c r="C58" s="138"/>
      <x:c r="D58" s="138"/>
      <x:c r="E58" s="138"/>
      <x:c r="F58" s="138"/>
      <x:c r="G58" s="138"/>
      <x:c r="H58" s="138"/>
      <x:c r="I58" s="138"/>
      <x:c r="J58" s="138"/>
      <x:c r="K58" s="138"/>
      <x:c r="L58" s="138"/>
      <x:c r="M58" s="138"/>
      <x:c r="N58" s="138"/>
      <x:c r="O58" s="138"/>
      <x:c r="P58" s="138"/>
      <x:c r="Q58" s="138"/>
      <x:c r="R58" s="138"/>
      <x:c r="S58" s="138"/>
      <x:c r="T58" s="138"/>
      <x:c r="U58" s="138"/>
      <x:c r="V58" s="138"/>
      <x:c r="W58" s="138"/>
      <x:c r="X58" s="138"/>
      <x:c r="Y58" s="138"/>
      <x:c r="Z58" s="138"/>
    </x:row>
    <x:row r="59">
      <x:c r="A59" s="138"/>
      <x:c r="B59" s="138"/>
      <x:c r="C59" s="138"/>
      <x:c r="D59" s="138"/>
      <x:c r="E59" s="138"/>
      <x:c r="F59" s="138"/>
      <x:c r="G59" s="138"/>
      <x:c r="H59" s="138"/>
      <x:c r="I59" s="138"/>
      <x:c r="J59" s="138"/>
      <x:c r="K59" s="138"/>
      <x:c r="L59" s="138"/>
      <x:c r="M59" s="138"/>
      <x:c r="N59" s="138"/>
      <x:c r="O59" s="138"/>
      <x:c r="P59" s="138"/>
      <x:c r="Q59" s="138"/>
      <x:c r="R59" s="138"/>
      <x:c r="S59" s="138"/>
      <x:c r="T59" s="138"/>
      <x:c r="U59" s="138"/>
      <x:c r="V59" s="138"/>
      <x:c r="W59" s="138"/>
      <x:c r="X59" s="138"/>
      <x:c r="Y59" s="138"/>
      <x:c r="Z59" s="138"/>
    </x:row>
    <x:row r="60">
      <x:c r="A60" s="138"/>
      <x:c r="B60" s="138"/>
      <x:c r="C60" s="138"/>
      <x:c r="D60" s="138"/>
      <x:c r="E60" s="138"/>
      <x:c r="F60" s="138"/>
      <x:c r="G60" s="138"/>
      <x:c r="H60" s="138"/>
      <x:c r="I60" s="138"/>
      <x:c r="J60" s="138"/>
      <x:c r="K60" s="138"/>
      <x:c r="L60" s="138"/>
      <x:c r="M60" s="138"/>
      <x:c r="N60" s="138"/>
      <x:c r="O60" s="138"/>
      <x:c r="P60" s="138"/>
      <x:c r="Q60" s="138"/>
      <x:c r="R60" s="138"/>
      <x:c r="S60" s="138"/>
      <x:c r="T60" s="138"/>
      <x:c r="U60" s="138"/>
      <x:c r="V60" s="138"/>
      <x:c r="W60" s="138"/>
      <x:c r="X60" s="138"/>
      <x:c r="Y60" s="138"/>
      <x:c r="Z60" s="138"/>
    </x:row>
    <x:row r="61">
      <x:c r="A61" s="138"/>
      <x:c r="B61" s="138"/>
      <x:c r="C61" s="138"/>
      <x:c r="D61" s="138"/>
      <x:c r="E61" s="138"/>
      <x:c r="F61" s="138"/>
      <x:c r="G61" s="138"/>
      <x:c r="H61" s="138"/>
      <x:c r="I61" s="138"/>
      <x:c r="J61" s="138"/>
      <x:c r="K61" s="138"/>
      <x:c r="L61" s="138"/>
      <x:c r="M61" s="138"/>
      <x:c r="N61" s="138"/>
      <x:c r="O61" s="138"/>
      <x:c r="P61" s="138"/>
      <x:c r="Q61" s="138"/>
      <x:c r="R61" s="138"/>
      <x:c r="S61" s="138"/>
      <x:c r="T61" s="138"/>
      <x:c r="U61" s="138"/>
      <x:c r="V61" s="138"/>
      <x:c r="W61" s="138"/>
      <x:c r="X61" s="138"/>
      <x:c r="Y61" s="138"/>
      <x:c r="Z61" s="138"/>
    </x:row>
    <x:row r="62">
      <x:c r="A62" s="138"/>
      <x:c r="B62" s="138"/>
      <x:c r="C62" s="138"/>
      <x:c r="D62" s="138"/>
      <x:c r="E62" s="138"/>
      <x:c r="F62" s="138"/>
      <x:c r="G62" s="138"/>
      <x:c r="H62" s="138"/>
      <x:c r="I62" s="138"/>
      <x:c r="J62" s="138"/>
      <x:c r="K62" s="138"/>
      <x:c r="L62" s="138"/>
      <x:c r="M62" s="138"/>
      <x:c r="N62" s="138"/>
      <x:c r="O62" s="138"/>
      <x:c r="P62" s="138"/>
      <x:c r="Q62" s="138"/>
      <x:c r="R62" s="138"/>
      <x:c r="S62" s="138"/>
      <x:c r="T62" s="138"/>
      <x:c r="U62" s="138"/>
      <x:c r="V62" s="138"/>
      <x:c r="W62" s="138"/>
      <x:c r="X62" s="138"/>
      <x:c r="Y62" s="138"/>
      <x:c r="Z62" s="138"/>
    </x:row>
    <x:row r="63">
      <x:c r="A63" s="138"/>
      <x:c r="B63" s="138"/>
      <x:c r="C63" s="138"/>
      <x:c r="D63" s="138"/>
      <x:c r="E63" s="138"/>
      <x:c r="F63" s="138"/>
      <x:c r="G63" s="138"/>
      <x:c r="H63" s="138"/>
      <x:c r="I63" s="138"/>
      <x:c r="J63" s="138"/>
      <x:c r="K63" s="138"/>
      <x:c r="L63" s="138"/>
      <x:c r="M63" s="138"/>
      <x:c r="N63" s="138"/>
      <x:c r="O63" s="138"/>
      <x:c r="P63" s="138"/>
      <x:c r="Q63" s="138"/>
      <x:c r="R63" s="138"/>
      <x:c r="S63" s="138"/>
      <x:c r="T63" s="138"/>
      <x:c r="U63" s="138"/>
      <x:c r="V63" s="138"/>
      <x:c r="W63" s="138"/>
      <x:c r="X63" s="138"/>
      <x:c r="Y63" s="138"/>
      <x:c r="Z63" s="138"/>
    </x:row>
    <x:row r="64">
      <x:c r="A64" s="138"/>
      <x:c r="B64" s="138"/>
      <x:c r="C64" s="138"/>
      <x:c r="D64" s="138"/>
      <x:c r="E64" s="138"/>
      <x:c r="F64" s="138"/>
      <x:c r="G64" s="138"/>
      <x:c r="H64" s="138"/>
      <x:c r="I64" s="138"/>
      <x:c r="J64" s="138"/>
      <x:c r="K64" s="138"/>
      <x:c r="L64" s="138"/>
      <x:c r="M64" s="138"/>
      <x:c r="N64" s="138"/>
      <x:c r="O64" s="138"/>
      <x:c r="P64" s="138"/>
      <x:c r="Q64" s="138"/>
      <x:c r="R64" s="138"/>
      <x:c r="S64" s="138"/>
      <x:c r="T64" s="138"/>
      <x:c r="U64" s="138"/>
      <x:c r="V64" s="138"/>
      <x:c r="W64" s="138"/>
      <x:c r="X64" s="138"/>
      <x:c r="Y64" s="138"/>
      <x:c r="Z64" s="138"/>
    </x:row>
    <x:row r="65">
      <x:c r="A65" s="138"/>
      <x:c r="B65" s="138"/>
      <x:c r="C65" s="138"/>
      <x:c r="D65" s="138"/>
      <x:c r="E65" s="138"/>
      <x:c r="F65" s="138"/>
      <x:c r="G65" s="138"/>
      <x:c r="H65" s="138"/>
      <x:c r="I65" s="138"/>
      <x:c r="J65" s="138"/>
      <x:c r="K65" s="138"/>
      <x:c r="L65" s="138"/>
      <x:c r="M65" s="138"/>
      <x:c r="N65" s="138"/>
      <x:c r="O65" s="138"/>
      <x:c r="P65" s="138"/>
      <x:c r="Q65" s="138"/>
      <x:c r="R65" s="138"/>
      <x:c r="S65" s="138"/>
      <x:c r="T65" s="138"/>
      <x:c r="U65" s="138"/>
      <x:c r="V65" s="138"/>
      <x:c r="W65" s="138"/>
      <x:c r="X65" s="138"/>
      <x:c r="Y65" s="138"/>
      <x:c r="Z65" s="138"/>
    </x:row>
    <x:row r="66">
      <x:c r="A66" s="138"/>
      <x:c r="B66" s="138"/>
      <x:c r="C66" s="138"/>
      <x:c r="D66" s="138"/>
      <x:c r="E66" s="138"/>
      <x:c r="F66" s="138"/>
      <x:c r="G66" s="138"/>
      <x:c r="H66" s="138"/>
      <x:c r="I66" s="138"/>
      <x:c r="J66" s="138"/>
      <x:c r="K66" s="138"/>
      <x:c r="L66" s="138"/>
      <x:c r="M66" s="138"/>
      <x:c r="N66" s="138"/>
      <x:c r="O66" s="138"/>
      <x:c r="P66" s="138"/>
      <x:c r="Q66" s="138"/>
      <x:c r="R66" s="138"/>
      <x:c r="S66" s="138"/>
      <x:c r="T66" s="138"/>
      <x:c r="U66" s="138"/>
      <x:c r="V66" s="138"/>
      <x:c r="W66" s="138"/>
      <x:c r="X66" s="138"/>
      <x:c r="Y66" s="138"/>
      <x:c r="Z66" s="138"/>
    </x:row>
    <x:row r="67">
      <x:c r="A67" s="138"/>
      <x:c r="B67" s="138"/>
      <x:c r="C67" s="138"/>
      <x:c r="D67" s="138"/>
      <x:c r="E67" s="138"/>
      <x:c r="F67" s="138"/>
      <x:c r="G67" s="138"/>
      <x:c r="H67" s="138"/>
      <x:c r="I67" s="138"/>
      <x:c r="J67" s="138"/>
      <x:c r="K67" s="138"/>
      <x:c r="L67" s="138"/>
      <x:c r="M67" s="138"/>
      <x:c r="N67" s="138"/>
      <x:c r="O67" s="138"/>
      <x:c r="P67" s="138"/>
      <x:c r="Q67" s="138"/>
      <x:c r="R67" s="138"/>
      <x:c r="S67" s="138"/>
      <x:c r="T67" s="138"/>
      <x:c r="U67" s="138"/>
      <x:c r="V67" s="138"/>
      <x:c r="W67" s="138"/>
      <x:c r="X67" s="138"/>
      <x:c r="Y67" s="138"/>
      <x:c r="Z67" s="138"/>
    </x:row>
    <x:row r="68">
      <x:c r="A68" s="138"/>
      <x:c r="B68" s="138"/>
      <x:c r="C68" s="138"/>
      <x:c r="D68" s="138"/>
      <x:c r="E68" s="138"/>
      <x:c r="F68" s="138"/>
      <x:c r="G68" s="138"/>
      <x:c r="H68" s="138"/>
      <x:c r="I68" s="138"/>
      <x:c r="J68" s="138"/>
      <x:c r="K68" s="138"/>
      <x:c r="L68" s="138"/>
      <x:c r="M68" s="138"/>
      <x:c r="N68" s="138"/>
      <x:c r="O68" s="138"/>
      <x:c r="P68" s="138"/>
      <x:c r="Q68" s="138"/>
      <x:c r="R68" s="138"/>
      <x:c r="S68" s="138"/>
      <x:c r="T68" s="138"/>
      <x:c r="U68" s="138"/>
      <x:c r="V68" s="138"/>
      <x:c r="W68" s="138"/>
      <x:c r="X68" s="138"/>
      <x:c r="Y68" s="138"/>
      <x:c r="Z68" s="138"/>
    </x:row>
    <x:row r="69">
      <x:c r="A69" s="138"/>
      <x:c r="B69" s="138"/>
      <x:c r="C69" s="138"/>
      <x:c r="D69" s="138"/>
      <x:c r="E69" s="138"/>
      <x:c r="F69" s="138"/>
      <x:c r="G69" s="138"/>
      <x:c r="H69" s="138"/>
      <x:c r="I69" s="138"/>
      <x:c r="J69" s="138"/>
      <x:c r="K69" s="138"/>
      <x:c r="L69" s="138"/>
      <x:c r="M69" s="138"/>
      <x:c r="N69" s="138"/>
      <x:c r="O69" s="138"/>
      <x:c r="P69" s="138"/>
      <x:c r="Q69" s="138"/>
      <x:c r="R69" s="138"/>
      <x:c r="S69" s="138"/>
      <x:c r="T69" s="138"/>
      <x:c r="U69" s="138"/>
      <x:c r="V69" s="138"/>
      <x:c r="W69" s="138"/>
      <x:c r="X69" s="138"/>
      <x:c r="Y69" s="138"/>
      <x:c r="Z69" s="138"/>
    </x:row>
    <x:row r="70">
      <x:c r="A70" s="138"/>
      <x:c r="B70" s="138"/>
      <x:c r="C70" s="138"/>
      <x:c r="D70" s="138"/>
      <x:c r="E70" s="138"/>
      <x:c r="F70" s="138"/>
      <x:c r="G70" s="138"/>
      <x:c r="H70" s="138"/>
      <x:c r="I70" s="138"/>
      <x:c r="J70" s="138"/>
      <x:c r="K70" s="138"/>
      <x:c r="L70" s="138"/>
      <x:c r="M70" s="138"/>
      <x:c r="N70" s="138"/>
      <x:c r="O70" s="138"/>
      <x:c r="P70" s="138"/>
      <x:c r="Q70" s="138"/>
      <x:c r="R70" s="138"/>
      <x:c r="S70" s="138"/>
      <x:c r="T70" s="138"/>
      <x:c r="U70" s="138"/>
      <x:c r="V70" s="138"/>
      <x:c r="W70" s="138"/>
      <x:c r="X70" s="138"/>
      <x:c r="Y70" s="138"/>
      <x:c r="Z70" s="138"/>
    </x:row>
    <x:row r="71">
      <x:c r="A71" s="138"/>
      <x:c r="B71" s="138"/>
      <x:c r="C71" s="138"/>
      <x:c r="D71" s="138"/>
      <x:c r="E71" s="138"/>
      <x:c r="F71" s="138"/>
      <x:c r="G71" s="138"/>
      <x:c r="H71" s="138"/>
      <x:c r="I71" s="138"/>
      <x:c r="J71" s="138"/>
      <x:c r="K71" s="138"/>
      <x:c r="L71" s="138"/>
      <x:c r="M71" s="138"/>
      <x:c r="N71" s="138"/>
      <x:c r="O71" s="138"/>
      <x:c r="P71" s="138"/>
      <x:c r="Q71" s="138"/>
      <x:c r="R71" s="138"/>
      <x:c r="S71" s="138"/>
      <x:c r="T71" s="138"/>
      <x:c r="U71" s="138"/>
      <x:c r="V71" s="138"/>
      <x:c r="W71" s="138"/>
      <x:c r="X71" s="138"/>
      <x:c r="Y71" s="138"/>
      <x:c r="Z71" s="138"/>
    </x:row>
    <x:row r="72">
      <x:c r="A72" s="138"/>
      <x:c r="B72" s="138"/>
      <x:c r="C72" s="138"/>
      <x:c r="D72" s="138"/>
      <x:c r="E72" s="138"/>
      <x:c r="F72" s="138"/>
      <x:c r="G72" s="138"/>
      <x:c r="H72" s="138"/>
      <x:c r="I72" s="138"/>
      <x:c r="J72" s="138"/>
      <x:c r="K72" s="138"/>
      <x:c r="L72" s="138"/>
      <x:c r="M72" s="138"/>
      <x:c r="N72" s="138"/>
      <x:c r="O72" s="138"/>
      <x:c r="P72" s="138"/>
      <x:c r="Q72" s="138"/>
      <x:c r="R72" s="138"/>
      <x:c r="S72" s="138"/>
      <x:c r="T72" s="138"/>
      <x:c r="U72" s="138"/>
      <x:c r="V72" s="138"/>
      <x:c r="W72" s="138"/>
      <x:c r="X72" s="138"/>
      <x:c r="Y72" s="138"/>
      <x:c r="Z72" s="138"/>
    </x:row>
    <x:row r="73">
      <x:c r="A73" s="138"/>
      <x:c r="B73" s="138"/>
      <x:c r="C73" s="138"/>
      <x:c r="D73" s="138"/>
      <x:c r="E73" s="138"/>
      <x:c r="F73" s="138"/>
      <x:c r="G73" s="138"/>
      <x:c r="H73" s="138"/>
      <x:c r="I73" s="138"/>
      <x:c r="J73" s="138"/>
      <x:c r="K73" s="138"/>
      <x:c r="L73" s="138"/>
      <x:c r="M73" s="138"/>
      <x:c r="N73" s="138"/>
      <x:c r="O73" s="138"/>
      <x:c r="P73" s="138"/>
      <x:c r="Q73" s="138"/>
      <x:c r="R73" s="138"/>
      <x:c r="S73" s="138"/>
      <x:c r="T73" s="138"/>
      <x:c r="U73" s="138"/>
      <x:c r="V73" s="138"/>
      <x:c r="W73" s="138"/>
      <x:c r="X73" s="138"/>
      <x:c r="Y73" s="138"/>
      <x:c r="Z73" s="138"/>
    </x:row>
    <x:row r="74">
      <x:c r="A74" s="138"/>
      <x:c r="B74" s="138"/>
      <x:c r="C74" s="138"/>
      <x:c r="D74" s="138"/>
      <x:c r="E74" s="138"/>
      <x:c r="F74" s="138"/>
      <x:c r="G74" s="138"/>
      <x:c r="H74" s="138"/>
      <x:c r="I74" s="138"/>
      <x:c r="J74" s="138"/>
      <x:c r="K74" s="138"/>
      <x:c r="L74" s="138"/>
      <x:c r="M74" s="138"/>
      <x:c r="N74" s="138"/>
      <x:c r="O74" s="138"/>
      <x:c r="P74" s="138"/>
      <x:c r="Q74" s="138"/>
      <x:c r="R74" s="138"/>
      <x:c r="S74" s="138"/>
      <x:c r="T74" s="138"/>
      <x:c r="U74" s="138"/>
      <x:c r="V74" s="138"/>
      <x:c r="W74" s="138"/>
      <x:c r="X74" s="138"/>
      <x:c r="Y74" s="138"/>
      <x:c r="Z74" s="138"/>
    </x:row>
    <x:row r="75">
      <x:c r="A75" s="138"/>
      <x:c r="B75" s="138"/>
      <x:c r="C75" s="138"/>
      <x:c r="D75" s="138"/>
      <x:c r="E75" s="138"/>
      <x:c r="F75" s="138"/>
      <x:c r="G75" s="138"/>
      <x:c r="H75" s="138"/>
      <x:c r="I75" s="138"/>
      <x:c r="J75" s="138"/>
      <x:c r="K75" s="138"/>
      <x:c r="L75" s="138"/>
      <x:c r="M75" s="138"/>
      <x:c r="N75" s="138"/>
      <x:c r="O75" s="138"/>
      <x:c r="P75" s="138"/>
      <x:c r="Q75" s="138"/>
      <x:c r="R75" s="138"/>
      <x:c r="S75" s="138"/>
      <x:c r="T75" s="138"/>
      <x:c r="U75" s="138"/>
      <x:c r="V75" s="138"/>
      <x:c r="W75" s="138"/>
      <x:c r="X75" s="138"/>
      <x:c r="Y75" s="138"/>
      <x:c r="Z75" s="138"/>
    </x:row>
    <x:row r="76">
      <x:c r="A76" s="138"/>
      <x:c r="B76" s="138"/>
      <x:c r="C76" s="138"/>
      <x:c r="D76" s="138"/>
      <x:c r="E76" s="138"/>
      <x:c r="F76" s="138"/>
      <x:c r="G76" s="138"/>
      <x:c r="H76" s="138"/>
      <x:c r="I76" s="138"/>
      <x:c r="J76" s="138"/>
      <x:c r="K76" s="138"/>
      <x:c r="L76" s="138"/>
      <x:c r="M76" s="138"/>
      <x:c r="N76" s="138"/>
      <x:c r="O76" s="138"/>
      <x:c r="P76" s="138"/>
      <x:c r="Q76" s="138"/>
      <x:c r="R76" s="138"/>
      <x:c r="S76" s="138"/>
      <x:c r="T76" s="138"/>
      <x:c r="U76" s="138"/>
      <x:c r="V76" s="138"/>
      <x:c r="W76" s="138"/>
      <x:c r="X76" s="138"/>
      <x:c r="Y76" s="138"/>
      <x:c r="Z76" s="138"/>
    </x:row>
    <x:row r="77">
      <x:c r="A77" s="138"/>
      <x:c r="B77" s="138"/>
      <x:c r="C77" s="138"/>
      <x:c r="D77" s="138"/>
      <x:c r="E77" s="138"/>
      <x:c r="F77" s="138"/>
      <x:c r="G77" s="138"/>
      <x:c r="H77" s="138"/>
      <x:c r="I77" s="138"/>
      <x:c r="J77" s="138"/>
      <x:c r="K77" s="138"/>
      <x:c r="L77" s="138"/>
      <x:c r="M77" s="138"/>
      <x:c r="N77" s="138"/>
      <x:c r="O77" s="138"/>
      <x:c r="P77" s="138"/>
      <x:c r="Q77" s="138"/>
      <x:c r="R77" s="138"/>
      <x:c r="S77" s="138"/>
      <x:c r="T77" s="138"/>
      <x:c r="U77" s="138"/>
      <x:c r="V77" s="138"/>
      <x:c r="W77" s="138"/>
      <x:c r="X77" s="138"/>
      <x:c r="Y77" s="138"/>
      <x:c r="Z77" s="138"/>
    </x:row>
    <x:row r="78">
      <x:c r="A78" s="138"/>
      <x:c r="B78" s="138"/>
      <x:c r="C78" s="138"/>
      <x:c r="D78" s="138"/>
      <x:c r="E78" s="138"/>
      <x:c r="F78" s="138"/>
      <x:c r="G78" s="138"/>
      <x:c r="H78" s="138"/>
      <x:c r="I78" s="138"/>
      <x:c r="J78" s="138"/>
      <x:c r="K78" s="138"/>
      <x:c r="L78" s="138"/>
      <x:c r="M78" s="138"/>
      <x:c r="N78" s="138"/>
      <x:c r="O78" s="138"/>
      <x:c r="P78" s="138"/>
      <x:c r="Q78" s="138"/>
      <x:c r="R78" s="138"/>
      <x:c r="S78" s="138"/>
      <x:c r="T78" s="138"/>
      <x:c r="U78" s="138"/>
      <x:c r="V78" s="138"/>
      <x:c r="W78" s="138"/>
      <x:c r="X78" s="138"/>
      <x:c r="Y78" s="138"/>
      <x:c r="Z78" s="138"/>
    </x:row>
    <x:row r="79">
      <x:c r="A79" s="138"/>
      <x:c r="B79" s="138"/>
      <x:c r="C79" s="138"/>
      <x:c r="D79" s="138"/>
      <x:c r="E79" s="138"/>
      <x:c r="F79" s="138"/>
      <x:c r="G79" s="138"/>
      <x:c r="H79" s="138"/>
      <x:c r="I79" s="138"/>
      <x:c r="J79" s="138"/>
      <x:c r="K79" s="138"/>
      <x:c r="L79" s="138"/>
      <x:c r="M79" s="138"/>
      <x:c r="N79" s="138"/>
      <x:c r="O79" s="138"/>
      <x:c r="P79" s="138"/>
      <x:c r="Q79" s="138"/>
      <x:c r="R79" s="138"/>
      <x:c r="S79" s="138"/>
      <x:c r="T79" s="138"/>
      <x:c r="U79" s="138"/>
      <x:c r="V79" s="138"/>
      <x:c r="W79" s="138"/>
      <x:c r="X79" s="138"/>
      <x:c r="Y79" s="138"/>
      <x:c r="Z79" s="138"/>
    </x:row>
    <x:row r="80">
      <x:c r="A80" s="138"/>
      <x:c r="B80" s="138"/>
      <x:c r="C80" s="138"/>
      <x:c r="D80" s="138"/>
      <x:c r="E80" s="138"/>
      <x:c r="F80" s="138"/>
      <x:c r="G80" s="138"/>
      <x:c r="H80" s="138"/>
      <x:c r="I80" s="138"/>
      <x:c r="J80" s="138"/>
      <x:c r="K80" s="138"/>
      <x:c r="L80" s="138"/>
      <x:c r="M80" s="138"/>
      <x:c r="N80" s="138"/>
      <x:c r="O80" s="138"/>
      <x:c r="P80" s="138"/>
      <x:c r="Q80" s="138"/>
      <x:c r="R80" s="138"/>
      <x:c r="S80" s="138"/>
      <x:c r="T80" s="138"/>
      <x:c r="U80" s="138"/>
      <x:c r="V80" s="138"/>
      <x:c r="W80" s="138"/>
      <x:c r="X80" s="138"/>
      <x:c r="Y80" s="138"/>
      <x:c r="Z80" s="138"/>
    </x:row>
    <x:row r="81">
      <x:c r="A81" s="138"/>
      <x:c r="B81" s="138"/>
      <x:c r="C81" s="138"/>
      <x:c r="D81" s="138"/>
      <x:c r="E81" s="138"/>
      <x:c r="F81" s="138"/>
      <x:c r="G81" s="138"/>
      <x:c r="H81" s="138"/>
      <x:c r="I81" s="138"/>
      <x:c r="J81" s="138"/>
      <x:c r="K81" s="138"/>
      <x:c r="L81" s="138"/>
      <x:c r="M81" s="138"/>
      <x:c r="N81" s="138"/>
      <x:c r="O81" s="138"/>
      <x:c r="P81" s="138"/>
      <x:c r="Q81" s="138"/>
      <x:c r="R81" s="138"/>
      <x:c r="S81" s="138"/>
      <x:c r="T81" s="138"/>
      <x:c r="U81" s="138"/>
      <x:c r="V81" s="138"/>
      <x:c r="W81" s="138"/>
      <x:c r="X81" s="138"/>
      <x:c r="Y81" s="138"/>
      <x:c r="Z81" s="138"/>
    </x:row>
    <x:row r="82">
      <x:c r="A82" s="138"/>
      <x:c r="B82" s="138"/>
      <x:c r="C82" s="138"/>
      <x:c r="D82" s="138"/>
      <x:c r="E82" s="138"/>
      <x:c r="F82" s="138"/>
      <x:c r="G82" s="138"/>
      <x:c r="H82" s="138"/>
      <x:c r="I82" s="138"/>
      <x:c r="J82" s="138"/>
      <x:c r="K82" s="138"/>
      <x:c r="L82" s="138"/>
      <x:c r="M82" s="138"/>
      <x:c r="N82" s="138"/>
      <x:c r="O82" s="138"/>
      <x:c r="P82" s="138"/>
      <x:c r="Q82" s="138"/>
      <x:c r="R82" s="138"/>
      <x:c r="S82" s="138"/>
      <x:c r="T82" s="138"/>
      <x:c r="U82" s="138"/>
      <x:c r="V82" s="138"/>
      <x:c r="W82" s="138"/>
      <x:c r="X82" s="138"/>
      <x:c r="Y82" s="138"/>
      <x:c r="Z82" s="138"/>
    </x:row>
    <x:row r="83">
      <x:c r="A83" s="138"/>
      <x:c r="B83" s="138"/>
      <x:c r="C83" s="138"/>
      <x:c r="D83" s="138"/>
      <x:c r="E83" s="138"/>
      <x:c r="F83" s="138"/>
      <x:c r="G83" s="138"/>
      <x:c r="H83" s="138"/>
      <x:c r="I83" s="138"/>
      <x:c r="J83" s="138"/>
      <x:c r="K83" s="138"/>
      <x:c r="L83" s="138"/>
      <x:c r="M83" s="138"/>
      <x:c r="N83" s="138"/>
      <x:c r="O83" s="138"/>
      <x:c r="P83" s="138"/>
      <x:c r="Q83" s="138"/>
      <x:c r="R83" s="138"/>
      <x:c r="S83" s="138"/>
      <x:c r="T83" s="138"/>
      <x:c r="U83" s="138"/>
      <x:c r="V83" s="138"/>
      <x:c r="W83" s="138"/>
      <x:c r="X83" s="138"/>
      <x:c r="Y83" s="138"/>
      <x:c r="Z83" s="138"/>
    </x:row>
    <x:row r="84">
      <x:c r="A84" s="138"/>
      <x:c r="B84" s="138"/>
      <x:c r="C84" s="138"/>
      <x:c r="D84" s="138"/>
      <x:c r="E84" s="138"/>
      <x:c r="F84" s="138"/>
      <x:c r="G84" s="138"/>
      <x:c r="H84" s="138"/>
      <x:c r="I84" s="138"/>
      <x:c r="J84" s="138"/>
      <x:c r="K84" s="138"/>
      <x:c r="L84" s="138"/>
      <x:c r="M84" s="138"/>
      <x:c r="N84" s="138"/>
      <x:c r="O84" s="138"/>
      <x:c r="P84" s="138"/>
      <x:c r="Q84" s="138"/>
      <x:c r="R84" s="138"/>
      <x:c r="S84" s="138"/>
      <x:c r="T84" s="138"/>
      <x:c r="U84" s="138"/>
      <x:c r="V84" s="138"/>
      <x:c r="W84" s="138"/>
      <x:c r="X84" s="138"/>
      <x:c r="Y84" s="138"/>
      <x:c r="Z84" s="138"/>
    </x:row>
    <x:row r="85">
      <x:c r="A85" s="138"/>
      <x:c r="B85" s="138"/>
      <x:c r="C85" s="138"/>
      <x:c r="D85" s="138"/>
      <x:c r="E85" s="138"/>
      <x:c r="F85" s="138"/>
      <x:c r="G85" s="138"/>
      <x:c r="H85" s="138"/>
      <x:c r="I85" s="138"/>
      <x:c r="J85" s="138"/>
      <x:c r="K85" s="138"/>
      <x:c r="L85" s="138"/>
      <x:c r="M85" s="138"/>
      <x:c r="N85" s="138"/>
      <x:c r="O85" s="138"/>
      <x:c r="P85" s="138"/>
      <x:c r="Q85" s="138"/>
      <x:c r="R85" s="138"/>
      <x:c r="S85" s="138"/>
      <x:c r="T85" s="138"/>
      <x:c r="U85" s="138"/>
      <x:c r="V85" s="138"/>
      <x:c r="W85" s="138"/>
      <x:c r="X85" s="138"/>
      <x:c r="Y85" s="138"/>
      <x:c r="Z85" s="138"/>
    </x:row>
    <x:row r="86">
      <x:c r="A86" s="138"/>
      <x:c r="B86" s="138"/>
      <x:c r="C86" s="138"/>
      <x:c r="D86" s="138"/>
      <x:c r="E86" s="138"/>
      <x:c r="F86" s="138"/>
      <x:c r="G86" s="138"/>
      <x:c r="H86" s="138"/>
      <x:c r="I86" s="138"/>
      <x:c r="J86" s="138"/>
      <x:c r="K86" s="138"/>
      <x:c r="L86" s="138"/>
      <x:c r="M86" s="138"/>
      <x:c r="N86" s="138"/>
      <x:c r="O86" s="138"/>
      <x:c r="P86" s="138"/>
      <x:c r="Q86" s="138"/>
      <x:c r="R86" s="138"/>
      <x:c r="S86" s="138"/>
      <x:c r="T86" s="138"/>
      <x:c r="U86" s="138"/>
      <x:c r="V86" s="138"/>
      <x:c r="W86" s="138"/>
      <x:c r="X86" s="138"/>
      <x:c r="Y86" s="138"/>
      <x:c r="Z86" s="138"/>
    </x:row>
    <x:row r="87">
      <x:c r="A87" s="138"/>
      <x:c r="B87" s="138"/>
      <x:c r="C87" s="138"/>
      <x:c r="D87" s="138"/>
      <x:c r="E87" s="138"/>
      <x:c r="F87" s="138"/>
      <x:c r="G87" s="138"/>
      <x:c r="H87" s="138"/>
      <x:c r="I87" s="138"/>
      <x:c r="J87" s="138"/>
      <x:c r="K87" s="138"/>
      <x:c r="L87" s="138"/>
      <x:c r="M87" s="138"/>
      <x:c r="N87" s="138"/>
      <x:c r="O87" s="138"/>
      <x:c r="P87" s="138"/>
      <x:c r="Q87" s="138"/>
      <x:c r="R87" s="138"/>
      <x:c r="S87" s="138"/>
      <x:c r="T87" s="138"/>
      <x:c r="U87" s="138"/>
      <x:c r="V87" s="138"/>
      <x:c r="W87" s="138"/>
      <x:c r="X87" s="138"/>
      <x:c r="Y87" s="138"/>
      <x:c r="Z87" s="138"/>
    </x:row>
    <x:row r="88">
      <x:c r="A88" s="138"/>
      <x:c r="B88" s="138"/>
      <x:c r="C88" s="138"/>
      <x:c r="D88" s="138"/>
      <x:c r="E88" s="138"/>
      <x:c r="F88" s="138"/>
      <x:c r="G88" s="138"/>
      <x:c r="H88" s="138"/>
      <x:c r="I88" s="138"/>
      <x:c r="J88" s="138"/>
      <x:c r="K88" s="138"/>
      <x:c r="L88" s="138"/>
      <x:c r="M88" s="138"/>
      <x:c r="N88" s="138"/>
      <x:c r="O88" s="138"/>
      <x:c r="P88" s="138"/>
      <x:c r="Q88" s="138"/>
      <x:c r="R88" s="138"/>
      <x:c r="S88" s="138"/>
      <x:c r="T88" s="138"/>
      <x:c r="U88" s="138"/>
      <x:c r="V88" s="138"/>
      <x:c r="W88" s="138"/>
      <x:c r="X88" s="138"/>
      <x:c r="Y88" s="138"/>
      <x:c r="Z88" s="138"/>
    </x:row>
    <x:row r="89">
      <x:c r="A89" s="138"/>
      <x:c r="B89" s="138"/>
      <x:c r="C89" s="138"/>
      <x:c r="D89" s="138"/>
      <x:c r="E89" s="138"/>
      <x:c r="F89" s="138"/>
      <x:c r="G89" s="138"/>
      <x:c r="H89" s="138"/>
      <x:c r="I89" s="138"/>
      <x:c r="J89" s="138"/>
      <x:c r="K89" s="138"/>
      <x:c r="L89" s="138"/>
      <x:c r="M89" s="138"/>
      <x:c r="N89" s="138"/>
      <x:c r="O89" s="138"/>
      <x:c r="P89" s="138"/>
      <x:c r="Q89" s="138"/>
      <x:c r="R89" s="138"/>
      <x:c r="S89" s="138"/>
      <x:c r="T89" s="138"/>
      <x:c r="U89" s="138"/>
      <x:c r="V89" s="138"/>
      <x:c r="W89" s="138"/>
      <x:c r="X89" s="138"/>
      <x:c r="Y89" s="138"/>
      <x:c r="Z89" s="138"/>
    </x:row>
    <x:row r="90">
      <x:c r="A90" s="138"/>
      <x:c r="B90" s="138"/>
      <x:c r="C90" s="138"/>
      <x:c r="D90" s="138"/>
      <x:c r="E90" s="138"/>
      <x:c r="F90" s="138"/>
      <x:c r="G90" s="138"/>
      <x:c r="H90" s="138"/>
      <x:c r="I90" s="138"/>
      <x:c r="J90" s="138"/>
      <x:c r="K90" s="138"/>
      <x:c r="L90" s="138"/>
      <x:c r="M90" s="138"/>
      <x:c r="N90" s="138"/>
      <x:c r="O90" s="138"/>
      <x:c r="P90" s="138"/>
      <x:c r="Q90" s="138"/>
      <x:c r="R90" s="138"/>
      <x:c r="S90" s="138"/>
      <x:c r="T90" s="138"/>
      <x:c r="U90" s="138"/>
      <x:c r="V90" s="138"/>
      <x:c r="W90" s="138"/>
      <x:c r="X90" s="138"/>
      <x:c r="Y90" s="138"/>
      <x:c r="Z90" s="138"/>
    </x:row>
    <x:row r="91">
      <x:c r="A91" s="138"/>
      <x:c r="B91" s="138"/>
      <x:c r="C91" s="138"/>
      <x:c r="D91" s="138"/>
      <x:c r="E91" s="138"/>
      <x:c r="F91" s="138"/>
      <x:c r="G91" s="138"/>
      <x:c r="H91" s="138"/>
      <x:c r="I91" s="138"/>
      <x:c r="J91" s="138"/>
      <x:c r="K91" s="138"/>
      <x:c r="L91" s="138"/>
      <x:c r="M91" s="138"/>
      <x:c r="N91" s="138"/>
      <x:c r="O91" s="138"/>
      <x:c r="P91" s="138"/>
      <x:c r="Q91" s="138"/>
      <x:c r="R91" s="138"/>
      <x:c r="S91" s="138"/>
      <x:c r="T91" s="138"/>
      <x:c r="U91" s="138"/>
      <x:c r="V91" s="138"/>
      <x:c r="W91" s="138"/>
      <x:c r="X91" s="138"/>
      <x:c r="Y91" s="138"/>
      <x:c r="Z91" s="138"/>
    </x:row>
    <x:row r="92">
      <x:c r="A92" s="138"/>
      <x:c r="B92" s="138"/>
      <x:c r="C92" s="138"/>
      <x:c r="D92" s="138"/>
      <x:c r="E92" s="138"/>
      <x:c r="F92" s="138"/>
      <x:c r="G92" s="138"/>
      <x:c r="H92" s="138"/>
      <x:c r="I92" s="138"/>
      <x:c r="J92" s="138"/>
      <x:c r="K92" s="138"/>
      <x:c r="L92" s="138"/>
      <x:c r="M92" s="138"/>
      <x:c r="N92" s="138"/>
      <x:c r="O92" s="138"/>
      <x:c r="P92" s="138"/>
      <x:c r="Q92" s="138"/>
      <x:c r="R92" s="138"/>
      <x:c r="S92" s="138"/>
      <x:c r="T92" s="138"/>
      <x:c r="U92" s="138"/>
      <x:c r="V92" s="138"/>
      <x:c r="W92" s="138"/>
      <x:c r="X92" s="138"/>
      <x:c r="Y92" s="138"/>
      <x:c r="Z92" s="138"/>
    </x:row>
    <x:row r="93">
      <x:c r="A93" s="138"/>
      <x:c r="B93" s="138"/>
      <x:c r="C93" s="138"/>
      <x:c r="D93" s="138"/>
      <x:c r="E93" s="138"/>
      <x:c r="F93" s="138"/>
      <x:c r="G93" s="138"/>
      <x:c r="H93" s="138"/>
      <x:c r="I93" s="138"/>
      <x:c r="J93" s="138"/>
      <x:c r="K93" s="138"/>
      <x:c r="L93" s="138"/>
      <x:c r="M93" s="138"/>
      <x:c r="N93" s="138"/>
      <x:c r="O93" s="138"/>
      <x:c r="P93" s="138"/>
      <x:c r="Q93" s="138"/>
      <x:c r="R93" s="138"/>
      <x:c r="S93" s="138"/>
      <x:c r="T93" s="138"/>
      <x:c r="U93" s="138"/>
      <x:c r="V93" s="138"/>
      <x:c r="W93" s="138"/>
      <x:c r="X93" s="138"/>
      <x:c r="Y93" s="138"/>
      <x:c r="Z93" s="138"/>
    </x:row>
    <x:row r="94">
      <x:c r="A94" s="138"/>
      <x:c r="B94" s="138"/>
      <x:c r="C94" s="138"/>
      <x:c r="D94" s="138"/>
      <x:c r="E94" s="138"/>
      <x:c r="F94" s="138"/>
      <x:c r="G94" s="138"/>
      <x:c r="H94" s="138"/>
      <x:c r="I94" s="138"/>
      <x:c r="J94" s="138"/>
      <x:c r="K94" s="138"/>
      <x:c r="L94" s="138"/>
      <x:c r="M94" s="138"/>
      <x:c r="N94" s="138"/>
      <x:c r="O94" s="138"/>
      <x:c r="P94" s="138"/>
      <x:c r="Q94" s="138"/>
      <x:c r="R94" s="138"/>
      <x:c r="S94" s="138"/>
      <x:c r="T94" s="138"/>
      <x:c r="U94" s="138"/>
      <x:c r="V94" s="138"/>
      <x:c r="W94" s="138"/>
      <x:c r="X94" s="138"/>
      <x:c r="Y94" s="138"/>
      <x:c r="Z94" s="138"/>
    </x:row>
    <x:row r="95">
      <x:c r="A95" s="138"/>
      <x:c r="B95" s="138"/>
      <x:c r="C95" s="138"/>
      <x:c r="D95" s="138"/>
      <x:c r="E95" s="138"/>
      <x:c r="F95" s="138"/>
      <x:c r="G95" s="138"/>
      <x:c r="H95" s="138"/>
      <x:c r="I95" s="138"/>
      <x:c r="J95" s="138"/>
      <x:c r="K95" s="138"/>
      <x:c r="L95" s="138"/>
      <x:c r="M95" s="138"/>
      <x:c r="N95" s="138"/>
      <x:c r="O95" s="138"/>
      <x:c r="P95" s="138"/>
      <x:c r="Q95" s="138"/>
      <x:c r="R95" s="138"/>
      <x:c r="S95" s="138"/>
      <x:c r="T95" s="138"/>
      <x:c r="U95" s="138"/>
      <x:c r="V95" s="138"/>
      <x:c r="W95" s="138"/>
      <x:c r="X95" s="138"/>
      <x:c r="Y95" s="138"/>
      <x:c r="Z95" s="138"/>
    </x:row>
    <x:row r="96">
      <x:c r="A96" s="138"/>
      <x:c r="B96" s="138"/>
      <x:c r="C96" s="138"/>
      <x:c r="D96" s="138"/>
      <x:c r="E96" s="138"/>
      <x:c r="F96" s="138"/>
      <x:c r="G96" s="138"/>
      <x:c r="H96" s="138"/>
      <x:c r="I96" s="138"/>
      <x:c r="J96" s="138"/>
      <x:c r="K96" s="138"/>
      <x:c r="L96" s="138"/>
      <x:c r="M96" s="138"/>
      <x:c r="N96" s="138"/>
      <x:c r="O96" s="138"/>
      <x:c r="P96" s="138"/>
      <x:c r="Q96" s="138"/>
      <x:c r="R96" s="138"/>
      <x:c r="S96" s="138"/>
      <x:c r="T96" s="138"/>
      <x:c r="U96" s="138"/>
      <x:c r="V96" s="138"/>
      <x:c r="W96" s="138"/>
      <x:c r="X96" s="138"/>
      <x:c r="Y96" s="138"/>
      <x:c r="Z96" s="138"/>
    </x:row>
    <x:row r="97">
      <x:c r="A97" s="138"/>
      <x:c r="B97" s="138"/>
      <x:c r="C97" s="138"/>
      <x:c r="D97" s="138"/>
      <x:c r="E97" s="138"/>
      <x:c r="F97" s="138"/>
      <x:c r="G97" s="138"/>
      <x:c r="H97" s="138"/>
      <x:c r="I97" s="138"/>
      <x:c r="J97" s="138"/>
      <x:c r="K97" s="138"/>
      <x:c r="L97" s="138"/>
      <x:c r="M97" s="138"/>
      <x:c r="N97" s="138"/>
      <x:c r="O97" s="138"/>
      <x:c r="P97" s="138"/>
      <x:c r="Q97" s="138"/>
      <x:c r="R97" s="138"/>
      <x:c r="S97" s="138"/>
      <x:c r="T97" s="138"/>
      <x:c r="U97" s="138"/>
      <x:c r="V97" s="138"/>
      <x:c r="W97" s="138"/>
      <x:c r="X97" s="138"/>
      <x:c r="Y97" s="138"/>
      <x:c r="Z97" s="138"/>
    </x:row>
    <x:row r="98">
      <x:c r="A98" s="138"/>
      <x:c r="B98" s="138"/>
      <x:c r="C98" s="138"/>
      <x:c r="D98" s="138"/>
      <x:c r="E98" s="138"/>
      <x:c r="F98" s="138"/>
      <x:c r="G98" s="138"/>
      <x:c r="H98" s="138"/>
      <x:c r="I98" s="138"/>
      <x:c r="J98" s="138"/>
      <x:c r="K98" s="138"/>
      <x:c r="L98" s="138"/>
      <x:c r="M98" s="138"/>
      <x:c r="N98" s="138"/>
      <x:c r="O98" s="138"/>
      <x:c r="P98" s="138"/>
      <x:c r="Q98" s="138"/>
      <x:c r="R98" s="138"/>
      <x:c r="S98" s="138"/>
      <x:c r="T98" s="138"/>
      <x:c r="U98" s="138"/>
      <x:c r="V98" s="138"/>
      <x:c r="W98" s="138"/>
      <x:c r="X98" s="138"/>
      <x:c r="Y98" s="138"/>
      <x:c r="Z98" s="138"/>
    </x:row>
    <x:row r="99">
      <x:c r="A99" s="138"/>
      <x:c r="B99" s="138"/>
      <x:c r="C99" s="138"/>
      <x:c r="D99" s="138"/>
      <x:c r="E99" s="138"/>
      <x:c r="F99" s="138"/>
      <x:c r="G99" s="138"/>
      <x:c r="H99" s="138"/>
      <x:c r="I99" s="138"/>
      <x:c r="J99" s="138"/>
      <x:c r="K99" s="138"/>
      <x:c r="L99" s="138"/>
      <x:c r="M99" s="138"/>
      <x:c r="N99" s="138"/>
      <x:c r="O99" s="138"/>
      <x:c r="P99" s="138"/>
      <x:c r="Q99" s="138"/>
      <x:c r="R99" s="138"/>
      <x:c r="S99" s="138"/>
      <x:c r="T99" s="138"/>
      <x:c r="U99" s="138"/>
      <x:c r="V99" s="138"/>
      <x:c r="W99" s="138"/>
      <x:c r="X99" s="138"/>
      <x:c r="Y99" s="138"/>
      <x:c r="Z99" s="138"/>
    </x:row>
    <x:row r="100">
      <x:c r="A100" s="138"/>
      <x:c r="B100" s="138"/>
      <x:c r="C100" s="138"/>
      <x:c r="D100" s="138"/>
      <x:c r="E100" s="138"/>
      <x:c r="F100" s="138"/>
      <x:c r="G100" s="138"/>
      <x:c r="H100" s="138"/>
      <x:c r="I100" s="138"/>
      <x:c r="J100" s="138"/>
      <x:c r="K100" s="138"/>
      <x:c r="L100" s="138"/>
      <x:c r="M100" s="138"/>
      <x:c r="N100" s="138"/>
      <x:c r="O100" s="138"/>
      <x:c r="P100" s="138"/>
      <x:c r="Q100" s="138"/>
      <x:c r="R100" s="138"/>
      <x:c r="S100" s="138"/>
      <x:c r="T100" s="138"/>
      <x:c r="U100" s="138"/>
      <x:c r="V100" s="138"/>
      <x:c r="W100" s="138"/>
      <x:c r="X100" s="138"/>
      <x:c r="Y100" s="138"/>
      <x:c r="Z100" s="138"/>
    </x:row>
    <x:row r="101">
      <x:c r="A101" s="138"/>
      <x:c r="B101" s="138"/>
      <x:c r="C101" s="138"/>
      <x:c r="D101" s="138"/>
      <x:c r="E101" s="138"/>
      <x:c r="F101" s="138"/>
      <x:c r="G101" s="138"/>
      <x:c r="H101" s="138"/>
      <x:c r="I101" s="138"/>
      <x:c r="J101" s="138"/>
      <x:c r="K101" s="138"/>
      <x:c r="L101" s="138"/>
      <x:c r="M101" s="138"/>
      <x:c r="N101" s="138"/>
      <x:c r="O101" s="138"/>
      <x:c r="P101" s="138"/>
      <x:c r="Q101" s="138"/>
      <x:c r="R101" s="138"/>
      <x:c r="S101" s="138"/>
      <x:c r="T101" s="138"/>
      <x:c r="U101" s="138"/>
      <x:c r="V101" s="138"/>
      <x:c r="W101" s="138"/>
      <x:c r="X101" s="138"/>
      <x:c r="Y101" s="138"/>
      <x:c r="Z101" s="138"/>
    </x:row>
    <x:row r="102">
      <x:c r="A102" s="138"/>
      <x:c r="B102" s="138"/>
      <x:c r="C102" s="138"/>
      <x:c r="D102" s="138"/>
      <x:c r="E102" s="138"/>
      <x:c r="F102" s="138"/>
      <x:c r="G102" s="138"/>
      <x:c r="H102" s="138"/>
      <x:c r="I102" s="138"/>
      <x:c r="J102" s="138"/>
      <x:c r="K102" s="138"/>
      <x:c r="L102" s="138"/>
      <x:c r="M102" s="138"/>
      <x:c r="N102" s="138"/>
      <x:c r="O102" s="138"/>
      <x:c r="P102" s="138"/>
      <x:c r="Q102" s="138"/>
      <x:c r="R102" s="138"/>
      <x:c r="S102" s="138"/>
      <x:c r="T102" s="138"/>
      <x:c r="U102" s="138"/>
      <x:c r="V102" s="138"/>
      <x:c r="W102" s="138"/>
      <x:c r="X102" s="138"/>
      <x:c r="Y102" s="138"/>
      <x:c r="Z102" s="138"/>
    </x:row>
    <x:row r="103">
      <x:c r="A103" s="138"/>
      <x:c r="B103" s="138"/>
      <x:c r="C103" s="138"/>
      <x:c r="D103" s="138"/>
      <x:c r="E103" s="138"/>
      <x:c r="F103" s="138"/>
      <x:c r="G103" s="138"/>
      <x:c r="H103" s="138"/>
      <x:c r="I103" s="138"/>
      <x:c r="J103" s="138"/>
      <x:c r="K103" s="138"/>
      <x:c r="L103" s="138"/>
      <x:c r="M103" s="138"/>
      <x:c r="N103" s="138"/>
      <x:c r="O103" s="138"/>
      <x:c r="P103" s="138"/>
      <x:c r="Q103" s="138"/>
      <x:c r="R103" s="138"/>
      <x:c r="S103" s="138"/>
      <x:c r="T103" s="138"/>
      <x:c r="U103" s="138"/>
      <x:c r="V103" s="138"/>
      <x:c r="W103" s="138"/>
      <x:c r="X103" s="138"/>
      <x:c r="Y103" s="138"/>
      <x:c r="Z103" s="138"/>
    </x:row>
    <x:row r="104">
      <x:c r="A104" s="138"/>
      <x:c r="B104" s="138"/>
      <x:c r="C104" s="138"/>
      <x:c r="D104" s="138"/>
      <x:c r="E104" s="138"/>
      <x:c r="F104" s="138"/>
      <x:c r="G104" s="138"/>
      <x:c r="H104" s="138"/>
      <x:c r="I104" s="138"/>
      <x:c r="J104" s="138"/>
      <x:c r="K104" s="138"/>
      <x:c r="L104" s="138"/>
      <x:c r="M104" s="138"/>
      <x:c r="N104" s="138"/>
      <x:c r="O104" s="138"/>
      <x:c r="P104" s="138"/>
      <x:c r="Q104" s="138"/>
      <x:c r="R104" s="138"/>
      <x:c r="S104" s="138"/>
      <x:c r="T104" s="138"/>
      <x:c r="U104" s="138"/>
      <x:c r="V104" s="138"/>
      <x:c r="W104" s="138"/>
      <x:c r="X104" s="138"/>
      <x:c r="Y104" s="138"/>
      <x:c r="Z104" s="138"/>
    </x:row>
    <x:row r="105">
      <x:c r="A105" s="138"/>
      <x:c r="B105" s="138"/>
      <x:c r="C105" s="138"/>
      <x:c r="D105" s="138"/>
      <x:c r="E105" s="138"/>
      <x:c r="F105" s="138"/>
      <x:c r="G105" s="138"/>
      <x:c r="H105" s="138"/>
      <x:c r="I105" s="138"/>
      <x:c r="J105" s="138"/>
      <x:c r="K105" s="138"/>
      <x:c r="L105" s="138"/>
      <x:c r="M105" s="138"/>
      <x:c r="N105" s="138"/>
      <x:c r="O105" s="138"/>
      <x:c r="P105" s="138"/>
      <x:c r="Q105" s="138"/>
      <x:c r="R105" s="138"/>
      <x:c r="S105" s="138"/>
      <x:c r="T105" s="138"/>
      <x:c r="U105" s="138"/>
      <x:c r="V105" s="138"/>
      <x:c r="W105" s="138"/>
      <x:c r="X105" s="138"/>
      <x:c r="Y105" s="138"/>
      <x:c r="Z105" s="138"/>
    </x:row>
    <x:row r="106">
      <x:c r="A106" s="138"/>
      <x:c r="B106" s="138"/>
      <x:c r="C106" s="138"/>
      <x:c r="D106" s="138"/>
      <x:c r="E106" s="138"/>
      <x:c r="F106" s="138"/>
      <x:c r="G106" s="138"/>
      <x:c r="H106" s="138"/>
      <x:c r="I106" s="138"/>
      <x:c r="J106" s="138"/>
      <x:c r="K106" s="138"/>
      <x:c r="L106" s="138"/>
      <x:c r="M106" s="138"/>
      <x:c r="N106" s="138"/>
      <x:c r="O106" s="138"/>
      <x:c r="P106" s="138"/>
      <x:c r="Q106" s="138"/>
      <x:c r="R106" s="138"/>
      <x:c r="S106" s="138"/>
      <x:c r="T106" s="138"/>
      <x:c r="U106" s="138"/>
      <x:c r="V106" s="138"/>
      <x:c r="W106" s="138"/>
      <x:c r="X106" s="138"/>
      <x:c r="Y106" s="138"/>
      <x:c r="Z106" s="138"/>
    </x:row>
    <x:row r="107">
      <x:c r="A107" s="138"/>
      <x:c r="B107" s="138"/>
      <x:c r="C107" s="138"/>
      <x:c r="D107" s="138"/>
      <x:c r="E107" s="138"/>
      <x:c r="F107" s="138"/>
      <x:c r="G107" s="138"/>
      <x:c r="H107" s="138"/>
      <x:c r="I107" s="138"/>
      <x:c r="J107" s="138"/>
      <x:c r="K107" s="138"/>
      <x:c r="L107" s="138"/>
      <x:c r="M107" s="138"/>
      <x:c r="N107" s="138"/>
      <x:c r="O107" s="138"/>
      <x:c r="P107" s="138"/>
      <x:c r="Q107" s="138"/>
      <x:c r="R107" s="138"/>
      <x:c r="S107" s="138"/>
      <x:c r="T107" s="138"/>
      <x:c r="U107" s="138"/>
      <x:c r="V107" s="138"/>
      <x:c r="W107" s="138"/>
      <x:c r="X107" s="138"/>
      <x:c r="Y107" s="138"/>
      <x:c r="Z107" s="138"/>
    </x:row>
    <x:row r="108">
      <x:c r="A108" s="138"/>
      <x:c r="B108" s="138"/>
      <x:c r="C108" s="138"/>
      <x:c r="D108" s="138"/>
      <x:c r="E108" s="138"/>
      <x:c r="F108" s="138"/>
      <x:c r="G108" s="138"/>
      <x:c r="H108" s="138"/>
      <x:c r="I108" s="138"/>
      <x:c r="J108" s="138"/>
      <x:c r="K108" s="138"/>
      <x:c r="L108" s="138"/>
      <x:c r="M108" s="138"/>
      <x:c r="N108" s="138"/>
      <x:c r="O108" s="138"/>
      <x:c r="P108" s="138"/>
      <x:c r="Q108" s="138"/>
      <x:c r="R108" s="138"/>
      <x:c r="S108" s="138"/>
      <x:c r="T108" s="138"/>
      <x:c r="U108" s="138"/>
      <x:c r="V108" s="138"/>
      <x:c r="W108" s="138"/>
      <x:c r="X108" s="138"/>
      <x:c r="Y108" s="138"/>
      <x:c r="Z108" s="138"/>
    </x:row>
    <x:row r="109">
      <x:c r="A109" s="138"/>
      <x:c r="B109" s="138"/>
      <x:c r="C109" s="138"/>
      <x:c r="D109" s="138"/>
      <x:c r="E109" s="138"/>
      <x:c r="F109" s="138"/>
      <x:c r="G109" s="138"/>
      <x:c r="H109" s="138"/>
      <x:c r="I109" s="138"/>
      <x:c r="J109" s="138"/>
      <x:c r="K109" s="138"/>
      <x:c r="L109" s="138"/>
      <x:c r="M109" s="138"/>
      <x:c r="N109" s="138"/>
      <x:c r="O109" s="138"/>
      <x:c r="P109" s="138"/>
      <x:c r="Q109" s="138"/>
      <x:c r="R109" s="138"/>
      <x:c r="S109" s="138"/>
      <x:c r="T109" s="138"/>
      <x:c r="U109" s="138"/>
      <x:c r="V109" s="138"/>
      <x:c r="W109" s="138"/>
      <x:c r="X109" s="138"/>
      <x:c r="Y109" s="138"/>
      <x:c r="Z109" s="138"/>
    </x:row>
    <x:row r="110">
      <x:c r="A110" s="138"/>
      <x:c r="B110" s="138"/>
      <x:c r="C110" s="138"/>
      <x:c r="D110" s="138"/>
      <x:c r="E110" s="138"/>
      <x:c r="F110" s="138"/>
      <x:c r="G110" s="138"/>
      <x:c r="H110" s="138"/>
      <x:c r="I110" s="138"/>
      <x:c r="J110" s="138"/>
      <x:c r="K110" s="138"/>
      <x:c r="L110" s="138"/>
      <x:c r="M110" s="138"/>
      <x:c r="N110" s="138"/>
      <x:c r="O110" s="138"/>
      <x:c r="P110" s="138"/>
      <x:c r="Q110" s="138"/>
      <x:c r="R110" s="138"/>
      <x:c r="S110" s="138"/>
      <x:c r="T110" s="138"/>
      <x:c r="U110" s="138"/>
      <x:c r="V110" s="138"/>
      <x:c r="W110" s="138"/>
      <x:c r="X110" s="138"/>
      <x:c r="Y110" s="138"/>
      <x:c r="Z110" s="138"/>
    </x:row>
    <x:row r="111">
      <x:c r="A111" s="138"/>
      <x:c r="B111" s="138"/>
      <x:c r="C111" s="138"/>
      <x:c r="D111" s="138"/>
      <x:c r="E111" s="138"/>
      <x:c r="F111" s="138"/>
      <x:c r="G111" s="138"/>
      <x:c r="H111" s="138"/>
      <x:c r="I111" s="138"/>
      <x:c r="J111" s="138"/>
      <x:c r="K111" s="138"/>
      <x:c r="L111" s="138"/>
      <x:c r="M111" s="138"/>
      <x:c r="N111" s="138"/>
      <x:c r="O111" s="138"/>
      <x:c r="P111" s="138"/>
      <x:c r="Q111" s="138"/>
      <x:c r="R111" s="138"/>
      <x:c r="S111" s="138"/>
      <x:c r="T111" s="138"/>
      <x:c r="U111" s="138"/>
      <x:c r="V111" s="138"/>
      <x:c r="W111" s="138"/>
      <x:c r="X111" s="138"/>
      <x:c r="Y111" s="138"/>
      <x:c r="Z111" s="138"/>
    </x:row>
    <x:row r="112">
      <x:c r="A112" s="138"/>
      <x:c r="B112" s="138"/>
      <x:c r="C112" s="138"/>
      <x:c r="D112" s="138"/>
      <x:c r="E112" s="138"/>
      <x:c r="F112" s="138"/>
      <x:c r="G112" s="138"/>
      <x:c r="H112" s="138"/>
      <x:c r="I112" s="138"/>
      <x:c r="J112" s="138"/>
      <x:c r="K112" s="138"/>
      <x:c r="L112" s="138"/>
      <x:c r="M112" s="138"/>
      <x:c r="N112" s="138"/>
      <x:c r="O112" s="138"/>
      <x:c r="P112" s="138"/>
      <x:c r="Q112" s="138"/>
      <x:c r="R112" s="138"/>
      <x:c r="S112" s="138"/>
      <x:c r="T112" s="138"/>
      <x:c r="U112" s="138"/>
      <x:c r="V112" s="138"/>
      <x:c r="W112" s="138"/>
      <x:c r="X112" s="138"/>
      <x:c r="Y112" s="138"/>
      <x:c r="Z112" s="138"/>
    </x:row>
    <x:row r="113">
      <x:c r="A113" s="138"/>
      <x:c r="B113" s="138"/>
      <x:c r="C113" s="138"/>
      <x:c r="D113" s="138"/>
      <x:c r="E113" s="138"/>
      <x:c r="F113" s="138"/>
      <x:c r="G113" s="138"/>
      <x:c r="H113" s="138"/>
      <x:c r="I113" s="138"/>
      <x:c r="J113" s="138"/>
      <x:c r="K113" s="138"/>
      <x:c r="L113" s="138"/>
      <x:c r="M113" s="138"/>
      <x:c r="N113" s="138"/>
      <x:c r="O113" s="138"/>
      <x:c r="P113" s="138"/>
      <x:c r="Q113" s="138"/>
      <x:c r="R113" s="138"/>
      <x:c r="S113" s="138"/>
      <x:c r="T113" s="138"/>
      <x:c r="U113" s="138"/>
      <x:c r="V113" s="138"/>
      <x:c r="W113" s="138"/>
      <x:c r="X113" s="138"/>
      <x:c r="Y113" s="138"/>
      <x:c r="Z113" s="138"/>
    </x:row>
    <x:row r="114">
      <x:c r="A114" s="138"/>
      <x:c r="B114" s="138"/>
      <x:c r="C114" s="138"/>
      <x:c r="D114" s="138"/>
      <x:c r="E114" s="138"/>
      <x:c r="F114" s="138"/>
      <x:c r="G114" s="138"/>
      <x:c r="H114" s="138"/>
      <x:c r="I114" s="138"/>
      <x:c r="J114" s="138"/>
      <x:c r="K114" s="138"/>
      <x:c r="L114" s="138"/>
      <x:c r="M114" s="138"/>
      <x:c r="N114" s="138"/>
      <x:c r="O114" s="138"/>
      <x:c r="P114" s="138"/>
      <x:c r="Q114" s="138"/>
      <x:c r="R114" s="138"/>
      <x:c r="S114" s="138"/>
      <x:c r="T114" s="138"/>
      <x:c r="U114" s="138"/>
      <x:c r="V114" s="138"/>
      <x:c r="W114" s="138"/>
      <x:c r="X114" s="138"/>
      <x:c r="Y114" s="138"/>
      <x:c r="Z114" s="138"/>
    </x:row>
    <x:row r="115">
      <x:c r="A115" s="138"/>
      <x:c r="B115" s="138"/>
      <x:c r="C115" s="138"/>
      <x:c r="D115" s="138"/>
      <x:c r="E115" s="138"/>
      <x:c r="F115" s="138"/>
      <x:c r="G115" s="138"/>
      <x:c r="H115" s="138"/>
      <x:c r="I115" s="138"/>
      <x:c r="J115" s="138"/>
      <x:c r="K115" s="138"/>
      <x:c r="L115" s="138"/>
      <x:c r="M115" s="138"/>
      <x:c r="N115" s="138"/>
      <x:c r="O115" s="138"/>
      <x:c r="P115" s="138"/>
      <x:c r="Q115" s="138"/>
      <x:c r="R115" s="138"/>
      <x:c r="S115" s="138"/>
      <x:c r="T115" s="138"/>
      <x:c r="U115" s="138"/>
      <x:c r="V115" s="138"/>
      <x:c r="W115" s="138"/>
      <x:c r="X115" s="138"/>
      <x:c r="Y115" s="138"/>
      <x:c r="Z115" s="138"/>
    </x:row>
    <x:row r="116">
      <x:c r="A116" s="138"/>
      <x:c r="B116" s="138"/>
      <x:c r="C116" s="138"/>
      <x:c r="D116" s="138"/>
      <x:c r="E116" s="138"/>
      <x:c r="F116" s="138"/>
      <x:c r="G116" s="138"/>
      <x:c r="H116" s="138"/>
      <x:c r="I116" s="138"/>
      <x:c r="J116" s="138"/>
      <x:c r="K116" s="138"/>
      <x:c r="L116" s="138"/>
      <x:c r="M116" s="138"/>
      <x:c r="N116" s="138"/>
      <x:c r="O116" s="138"/>
      <x:c r="P116" s="138"/>
      <x:c r="Q116" s="138"/>
      <x:c r="R116" s="138"/>
      <x:c r="S116" s="138"/>
      <x:c r="T116" s="138"/>
      <x:c r="U116" s="138"/>
      <x:c r="V116" s="138"/>
      <x:c r="W116" s="138"/>
      <x:c r="X116" s="138"/>
      <x:c r="Y116" s="138"/>
      <x:c r="Z116" s="138"/>
    </x:row>
    <x:row r="117">
      <x:c r="A117" s="138"/>
      <x:c r="B117" s="138"/>
      <x:c r="C117" s="138"/>
      <x:c r="D117" s="138"/>
      <x:c r="E117" s="138"/>
      <x:c r="F117" s="138"/>
      <x:c r="G117" s="138"/>
      <x:c r="H117" s="138"/>
      <x:c r="I117" s="138"/>
      <x:c r="J117" s="138"/>
      <x:c r="K117" s="138"/>
      <x:c r="L117" s="138"/>
      <x:c r="M117" s="138"/>
      <x:c r="N117" s="138"/>
      <x:c r="O117" s="138"/>
      <x:c r="P117" s="138"/>
      <x:c r="Q117" s="138"/>
      <x:c r="R117" s="138"/>
      <x:c r="S117" s="138"/>
      <x:c r="T117" s="138"/>
      <x:c r="U117" s="138"/>
      <x:c r="V117" s="138"/>
      <x:c r="W117" s="138"/>
      <x:c r="X117" s="138"/>
      <x:c r="Y117" s="138"/>
      <x:c r="Z117" s="138"/>
    </x:row>
    <x:row r="118">
      <x:c r="A118" s="138"/>
      <x:c r="B118" s="138"/>
      <x:c r="C118" s="138"/>
      <x:c r="D118" s="138"/>
      <x:c r="E118" s="138"/>
      <x:c r="F118" s="138"/>
      <x:c r="G118" s="138"/>
      <x:c r="H118" s="138"/>
      <x:c r="I118" s="138"/>
      <x:c r="J118" s="138"/>
      <x:c r="K118" s="138"/>
      <x:c r="L118" s="138"/>
      <x:c r="M118" s="138"/>
      <x:c r="N118" s="138"/>
      <x:c r="O118" s="138"/>
      <x:c r="P118" s="138"/>
      <x:c r="Q118" s="138"/>
      <x:c r="R118" s="138"/>
      <x:c r="S118" s="138"/>
      <x:c r="T118" s="138"/>
      <x:c r="U118" s="138"/>
      <x:c r="V118" s="138"/>
      <x:c r="W118" s="138"/>
      <x:c r="X118" s="138"/>
      <x:c r="Y118" s="138"/>
      <x:c r="Z118" s="138"/>
    </x:row>
    <x:row r="119">
      <x:c r="A119" s="138"/>
      <x:c r="B119" s="138"/>
      <x:c r="C119" s="138"/>
      <x:c r="D119" s="138"/>
      <x:c r="E119" s="138"/>
      <x:c r="F119" s="138"/>
      <x:c r="G119" s="138"/>
      <x:c r="H119" s="138"/>
      <x:c r="I119" s="138"/>
      <x:c r="J119" s="138"/>
      <x:c r="K119" s="138"/>
      <x:c r="L119" s="138"/>
      <x:c r="M119" s="138"/>
      <x:c r="N119" s="138"/>
      <x:c r="O119" s="138"/>
      <x:c r="P119" s="138"/>
      <x:c r="Q119" s="138"/>
      <x:c r="R119" s="138"/>
      <x:c r="S119" s="138"/>
      <x:c r="T119" s="138"/>
      <x:c r="U119" s="138"/>
      <x:c r="V119" s="138"/>
      <x:c r="W119" s="138"/>
      <x:c r="X119" s="138"/>
      <x:c r="Y119" s="138"/>
      <x:c r="Z119" s="138"/>
    </x:row>
    <x:row r="120">
      <x:c r="A120" s="138"/>
      <x:c r="B120" s="138"/>
      <x:c r="C120" s="138"/>
      <x:c r="D120" s="138"/>
      <x:c r="E120" s="138"/>
      <x:c r="F120" s="138"/>
      <x:c r="G120" s="138"/>
      <x:c r="H120" s="138"/>
      <x:c r="I120" s="138"/>
      <x:c r="J120" s="138"/>
      <x:c r="K120" s="138"/>
      <x:c r="L120" s="138"/>
      <x:c r="M120" s="138"/>
      <x:c r="N120" s="138"/>
      <x:c r="O120" s="138"/>
      <x:c r="P120" s="138"/>
      <x:c r="Q120" s="138"/>
      <x:c r="R120" s="138"/>
      <x:c r="S120" s="138"/>
      <x:c r="T120" s="138"/>
      <x:c r="U120" s="138"/>
      <x:c r="V120" s="138"/>
      <x:c r="W120" s="138"/>
      <x:c r="X120" s="138"/>
      <x:c r="Y120" s="138"/>
      <x:c r="Z120" s="138"/>
    </x:row>
    <x:row r="121">
      <x:c r="A121" s="138"/>
      <x:c r="B121" s="138"/>
      <x:c r="C121" s="138"/>
      <x:c r="D121" s="138"/>
      <x:c r="E121" s="138"/>
      <x:c r="F121" s="138"/>
      <x:c r="G121" s="138"/>
      <x:c r="H121" s="138"/>
      <x:c r="I121" s="138"/>
      <x:c r="J121" s="138"/>
      <x:c r="K121" s="138"/>
      <x:c r="L121" s="138"/>
      <x:c r="M121" s="138"/>
      <x:c r="N121" s="138"/>
      <x:c r="O121" s="138"/>
      <x:c r="P121" s="138"/>
      <x:c r="Q121" s="138"/>
      <x:c r="R121" s="138"/>
      <x:c r="S121" s="138"/>
      <x:c r="T121" s="138"/>
      <x:c r="U121" s="138"/>
      <x:c r="V121" s="138"/>
      <x:c r="W121" s="138"/>
      <x:c r="X121" s="138"/>
      <x:c r="Y121" s="138"/>
      <x:c r="Z121" s="138"/>
    </x:row>
    <x:row r="122">
      <x:c r="A122" s="138"/>
      <x:c r="B122" s="138"/>
      <x:c r="C122" s="138"/>
      <x:c r="D122" s="138"/>
      <x:c r="E122" s="138"/>
      <x:c r="F122" s="138"/>
      <x:c r="G122" s="138"/>
      <x:c r="H122" s="138"/>
      <x:c r="I122" s="138"/>
      <x:c r="J122" s="138"/>
      <x:c r="K122" s="138"/>
      <x:c r="L122" s="138"/>
      <x:c r="M122" s="138"/>
      <x:c r="N122" s="138"/>
      <x:c r="O122" s="138"/>
      <x:c r="P122" s="138"/>
      <x:c r="Q122" s="138"/>
      <x:c r="R122" s="138"/>
      <x:c r="S122" s="138"/>
      <x:c r="T122" s="138"/>
      <x:c r="U122" s="138"/>
      <x:c r="V122" s="138"/>
      <x:c r="W122" s="138"/>
      <x:c r="X122" s="138"/>
      <x:c r="Y122" s="138"/>
      <x:c r="Z122" s="138"/>
    </x:row>
    <x:row r="123">
      <x:c r="A123" s="138"/>
      <x:c r="B123" s="138"/>
      <x:c r="C123" s="138"/>
      <x:c r="D123" s="138"/>
      <x:c r="E123" s="138"/>
      <x:c r="F123" s="138"/>
      <x:c r="G123" s="138"/>
      <x:c r="H123" s="138"/>
      <x:c r="I123" s="138"/>
      <x:c r="J123" s="138"/>
      <x:c r="K123" s="138"/>
      <x:c r="L123" s="138"/>
      <x:c r="M123" s="138"/>
      <x:c r="N123" s="138"/>
      <x:c r="O123" s="138"/>
      <x:c r="P123" s="138"/>
      <x:c r="Q123" s="138"/>
      <x:c r="R123" s="138"/>
      <x:c r="S123" s="138"/>
      <x:c r="T123" s="138"/>
      <x:c r="U123" s="138"/>
      <x:c r="V123" s="138"/>
      <x:c r="W123" s="138"/>
      <x:c r="X123" s="138"/>
      <x:c r="Y123" s="138"/>
      <x:c r="Z123" s="138"/>
    </x:row>
    <x:row r="124">
      <x:c r="A124" s="138"/>
      <x:c r="B124" s="138"/>
      <x:c r="C124" s="138"/>
      <x:c r="D124" s="138"/>
      <x:c r="E124" s="138"/>
      <x:c r="F124" s="138"/>
      <x:c r="G124" s="138"/>
      <x:c r="H124" s="138"/>
      <x:c r="I124" s="138"/>
      <x:c r="J124" s="138"/>
      <x:c r="K124" s="138"/>
      <x:c r="L124" s="138"/>
      <x:c r="M124" s="138"/>
      <x:c r="N124" s="138"/>
      <x:c r="O124" s="138"/>
      <x:c r="P124" s="138"/>
      <x:c r="Q124" s="138"/>
      <x:c r="R124" s="138"/>
      <x:c r="S124" s="138"/>
      <x:c r="T124" s="138"/>
      <x:c r="U124" s="138"/>
      <x:c r="V124" s="138"/>
      <x:c r="W124" s="138"/>
      <x:c r="X124" s="138"/>
      <x:c r="Y124" s="138"/>
      <x:c r="Z124" s="138"/>
    </x:row>
    <x:row r="125">
      <x:c r="A125" s="138"/>
      <x:c r="B125" s="138"/>
      <x:c r="C125" s="138"/>
      <x:c r="D125" s="138"/>
      <x:c r="E125" s="138"/>
      <x:c r="F125" s="138"/>
      <x:c r="G125" s="138"/>
      <x:c r="H125" s="138"/>
      <x:c r="I125" s="138"/>
      <x:c r="J125" s="138"/>
      <x:c r="K125" s="138"/>
      <x:c r="L125" s="138"/>
      <x:c r="M125" s="138"/>
      <x:c r="N125" s="138"/>
      <x:c r="O125" s="138"/>
      <x:c r="P125" s="138"/>
      <x:c r="Q125" s="138"/>
      <x:c r="R125" s="138"/>
      <x:c r="S125" s="138"/>
      <x:c r="T125" s="138"/>
      <x:c r="U125" s="138"/>
      <x:c r="V125" s="138"/>
      <x:c r="W125" s="138"/>
      <x:c r="X125" s="138"/>
      <x:c r="Y125" s="138"/>
      <x:c r="Z125" s="138"/>
    </x:row>
    <x:row r="126">
      <x:c r="A126" s="138"/>
      <x:c r="B126" s="138"/>
      <x:c r="C126" s="138"/>
      <x:c r="D126" s="138"/>
      <x:c r="E126" s="138"/>
      <x:c r="F126" s="138"/>
      <x:c r="G126" s="138"/>
      <x:c r="H126" s="138"/>
      <x:c r="I126" s="138"/>
      <x:c r="J126" s="138"/>
      <x:c r="K126" s="138"/>
      <x:c r="L126" s="138"/>
      <x:c r="M126" s="138"/>
      <x:c r="N126" s="138"/>
      <x:c r="O126" s="138"/>
      <x:c r="P126" s="138"/>
      <x:c r="Q126" s="138"/>
      <x:c r="R126" s="138"/>
      <x:c r="S126" s="138"/>
      <x:c r="T126" s="138"/>
      <x:c r="U126" s="138"/>
      <x:c r="V126" s="138"/>
      <x:c r="W126" s="138"/>
      <x:c r="X126" s="138"/>
      <x:c r="Y126" s="138"/>
      <x:c r="Z126" s="138"/>
    </x:row>
    <x:row r="127">
      <x:c r="A127" s="138"/>
      <x:c r="B127" s="138"/>
      <x:c r="C127" s="138"/>
      <x:c r="D127" s="138"/>
      <x:c r="E127" s="138"/>
      <x:c r="F127" s="138"/>
      <x:c r="G127" s="138"/>
      <x:c r="H127" s="138"/>
      <x:c r="I127" s="138"/>
      <x:c r="J127" s="138"/>
      <x:c r="K127" s="138"/>
      <x:c r="L127" s="138"/>
      <x:c r="M127" s="138"/>
      <x:c r="N127" s="138"/>
      <x:c r="O127" s="138"/>
      <x:c r="P127" s="138"/>
      <x:c r="Q127" s="138"/>
      <x:c r="R127" s="138"/>
      <x:c r="S127" s="138"/>
      <x:c r="T127" s="138"/>
      <x:c r="U127" s="138"/>
      <x:c r="V127" s="138"/>
      <x:c r="W127" s="138"/>
      <x:c r="X127" s="138"/>
      <x:c r="Y127" s="138"/>
      <x:c r="Z127" s="138"/>
    </x:row>
    <x:row r="128">
      <x:c r="A128" s="138"/>
      <x:c r="B128" s="138"/>
      <x:c r="C128" s="138"/>
      <x:c r="D128" s="138"/>
      <x:c r="E128" s="138"/>
      <x:c r="F128" s="138"/>
      <x:c r="G128" s="138"/>
      <x:c r="H128" s="138"/>
      <x:c r="I128" s="138"/>
      <x:c r="J128" s="138"/>
      <x:c r="K128" s="138"/>
      <x:c r="L128" s="138"/>
      <x:c r="M128" s="138"/>
      <x:c r="N128" s="138"/>
      <x:c r="O128" s="138"/>
      <x:c r="P128" s="138"/>
      <x:c r="Q128" s="138"/>
      <x:c r="R128" s="138"/>
      <x:c r="S128" s="138"/>
      <x:c r="T128" s="138"/>
      <x:c r="U128" s="138"/>
      <x:c r="V128" s="138"/>
      <x:c r="W128" s="138"/>
      <x:c r="X128" s="138"/>
      <x:c r="Y128" s="138"/>
      <x:c r="Z128" s="138"/>
    </x:row>
    <x:row r="129">
      <x:c r="A129" s="138"/>
      <x:c r="B129" s="138"/>
      <x:c r="C129" s="138"/>
      <x:c r="D129" s="138"/>
      <x:c r="E129" s="138"/>
      <x:c r="F129" s="138"/>
      <x:c r="G129" s="138"/>
      <x:c r="H129" s="138"/>
      <x:c r="I129" s="138"/>
      <x:c r="J129" s="138"/>
      <x:c r="K129" s="138"/>
      <x:c r="L129" s="138"/>
      <x:c r="M129" s="138"/>
      <x:c r="N129" s="138"/>
      <x:c r="O129" s="138"/>
      <x:c r="P129" s="138"/>
      <x:c r="Q129" s="138"/>
      <x:c r="R129" s="138"/>
      <x:c r="S129" s="138"/>
      <x:c r="T129" s="138"/>
      <x:c r="U129" s="138"/>
      <x:c r="V129" s="138"/>
      <x:c r="W129" s="138"/>
      <x:c r="X129" s="138"/>
      <x:c r="Y129" s="138"/>
      <x:c r="Z129" s="138"/>
    </x:row>
    <x:row r="130">
      <x:c r="A130" s="138"/>
      <x:c r="B130" s="138"/>
      <x:c r="C130" s="138"/>
      <x:c r="D130" s="138"/>
      <x:c r="E130" s="138"/>
      <x:c r="F130" s="138"/>
      <x:c r="G130" s="138"/>
      <x:c r="H130" s="138"/>
      <x:c r="I130" s="138"/>
      <x:c r="J130" s="138"/>
      <x:c r="K130" s="138"/>
      <x:c r="L130" s="138"/>
      <x:c r="M130" s="138"/>
      <x:c r="N130" s="138"/>
      <x:c r="O130" s="138"/>
      <x:c r="P130" s="138"/>
      <x:c r="Q130" s="138"/>
      <x:c r="R130" s="138"/>
      <x:c r="S130" s="138"/>
      <x:c r="T130" s="138"/>
      <x:c r="U130" s="138"/>
      <x:c r="V130" s="138"/>
      <x:c r="W130" s="138"/>
      <x:c r="X130" s="138"/>
      <x:c r="Y130" s="138"/>
      <x:c r="Z130" s="138"/>
    </x:row>
    <x:row r="131">
      <x:c r="A131" s="138"/>
      <x:c r="B131" s="138"/>
      <x:c r="C131" s="138"/>
      <x:c r="D131" s="138"/>
      <x:c r="E131" s="138"/>
      <x:c r="F131" s="138"/>
      <x:c r="G131" s="138"/>
      <x:c r="H131" s="138"/>
      <x:c r="I131" s="138"/>
      <x:c r="J131" s="138"/>
      <x:c r="K131" s="138"/>
      <x:c r="L131" s="138"/>
      <x:c r="M131" s="138"/>
      <x:c r="N131" s="138"/>
      <x:c r="O131" s="138"/>
      <x:c r="P131" s="138"/>
      <x:c r="Q131" s="138"/>
      <x:c r="R131" s="138"/>
      <x:c r="S131" s="138"/>
      <x:c r="T131" s="138"/>
      <x:c r="U131" s="138"/>
      <x:c r="V131" s="138"/>
      <x:c r="W131" s="138"/>
      <x:c r="X131" s="138"/>
      <x:c r="Y131" s="138"/>
      <x:c r="Z131" s="138"/>
    </x:row>
    <x:row r="132">
      <x:c r="A132" s="138"/>
      <x:c r="B132" s="138"/>
      <x:c r="C132" s="138"/>
      <x:c r="D132" s="138"/>
      <x:c r="E132" s="138"/>
      <x:c r="F132" s="138"/>
      <x:c r="G132" s="138"/>
      <x:c r="H132" s="138"/>
      <x:c r="I132" s="138"/>
      <x:c r="J132" s="138"/>
      <x:c r="K132" s="138"/>
      <x:c r="L132" s="138"/>
      <x:c r="M132" s="138"/>
      <x:c r="N132" s="138"/>
      <x:c r="O132" s="138"/>
      <x:c r="P132" s="138"/>
      <x:c r="Q132" s="138"/>
      <x:c r="R132" s="138"/>
      <x:c r="S132" s="138"/>
      <x:c r="T132" s="138"/>
      <x:c r="U132" s="138"/>
      <x:c r="V132" s="138"/>
      <x:c r="W132" s="138"/>
      <x:c r="X132" s="138"/>
      <x:c r="Y132" s="138"/>
      <x:c r="Z132" s="138"/>
    </x:row>
    <x:row r="133">
      <x:c r="A133" s="138"/>
      <x:c r="B133" s="138"/>
      <x:c r="C133" s="138"/>
      <x:c r="D133" s="138"/>
      <x:c r="E133" s="138"/>
      <x:c r="F133" s="138"/>
      <x:c r="G133" s="138"/>
      <x:c r="H133" s="138"/>
      <x:c r="I133" s="138"/>
      <x:c r="J133" s="138"/>
      <x:c r="K133" s="138"/>
      <x:c r="L133" s="138"/>
      <x:c r="M133" s="138"/>
      <x:c r="N133" s="138"/>
      <x:c r="O133" s="138"/>
      <x:c r="P133" s="138"/>
      <x:c r="Q133" s="138"/>
      <x:c r="R133" s="138"/>
      <x:c r="S133" s="138"/>
      <x:c r="T133" s="138"/>
      <x:c r="U133" s="138"/>
      <x:c r="V133" s="138"/>
      <x:c r="W133" s="138"/>
      <x:c r="X133" s="138"/>
      <x:c r="Y133" s="138"/>
      <x:c r="Z133" s="138"/>
    </x:row>
    <x:row r="134">
      <x:c r="A134" s="138"/>
      <x:c r="B134" s="138"/>
      <x:c r="C134" s="138"/>
      <x:c r="D134" s="138"/>
      <x:c r="E134" s="138"/>
      <x:c r="F134" s="138"/>
      <x:c r="G134" s="138"/>
      <x:c r="H134" s="138"/>
      <x:c r="I134" s="138"/>
      <x:c r="J134" s="138"/>
      <x:c r="K134" s="138"/>
      <x:c r="L134" s="138"/>
      <x:c r="M134" s="138"/>
      <x:c r="N134" s="138"/>
      <x:c r="O134" s="138"/>
      <x:c r="P134" s="138"/>
      <x:c r="Q134" s="138"/>
      <x:c r="R134" s="138"/>
      <x:c r="S134" s="138"/>
      <x:c r="T134" s="138"/>
      <x:c r="U134" s="138"/>
      <x:c r="V134" s="138"/>
      <x:c r="W134" s="138"/>
      <x:c r="X134" s="138"/>
      <x:c r="Y134" s="138"/>
      <x:c r="Z134" s="138"/>
    </x:row>
    <x:row r="135">
      <x:c r="A135" s="138"/>
      <x:c r="B135" s="138"/>
      <x:c r="C135" s="138"/>
      <x:c r="D135" s="138"/>
      <x:c r="E135" s="138"/>
      <x:c r="F135" s="138"/>
      <x:c r="G135" s="138"/>
      <x:c r="H135" s="138"/>
      <x:c r="I135" s="138"/>
      <x:c r="J135" s="138"/>
      <x:c r="K135" s="138"/>
      <x:c r="L135" s="138"/>
      <x:c r="M135" s="138"/>
      <x:c r="N135" s="138"/>
      <x:c r="O135" s="138"/>
      <x:c r="P135" s="138"/>
      <x:c r="Q135" s="138"/>
      <x:c r="R135" s="138"/>
      <x:c r="S135" s="138"/>
      <x:c r="T135" s="138"/>
      <x:c r="U135" s="138"/>
      <x:c r="V135" s="138"/>
      <x:c r="W135" s="138"/>
      <x:c r="X135" s="138"/>
      <x:c r="Y135" s="138"/>
      <x:c r="Z135" s="138"/>
    </x:row>
    <x:row r="136">
      <x:c r="A136" s="138"/>
      <x:c r="B136" s="138"/>
      <x:c r="C136" s="138"/>
      <x:c r="D136" s="138"/>
      <x:c r="E136" s="138"/>
      <x:c r="F136" s="138"/>
      <x:c r="G136" s="138"/>
      <x:c r="H136" s="138"/>
      <x:c r="I136" s="138"/>
      <x:c r="J136" s="138"/>
      <x:c r="K136" s="138"/>
      <x:c r="L136" s="138"/>
      <x:c r="M136" s="138"/>
      <x:c r="N136" s="138"/>
      <x:c r="O136" s="138"/>
      <x:c r="P136" s="138"/>
      <x:c r="Q136" s="138"/>
      <x:c r="R136" s="138"/>
      <x:c r="S136" s="138"/>
      <x:c r="T136" s="138"/>
      <x:c r="U136" s="138"/>
      <x:c r="V136" s="138"/>
      <x:c r="W136" s="138"/>
      <x:c r="X136" s="138"/>
      <x:c r="Y136" s="138"/>
      <x:c r="Z136" s="138"/>
    </x:row>
    <x:row r="137">
      <x:c r="A137" s="138"/>
      <x:c r="B137" s="138"/>
      <x:c r="C137" s="138"/>
      <x:c r="D137" s="138"/>
      <x:c r="E137" s="138"/>
      <x:c r="F137" s="138"/>
      <x:c r="G137" s="138"/>
      <x:c r="H137" s="138"/>
      <x:c r="I137" s="138"/>
      <x:c r="J137" s="138"/>
      <x:c r="K137" s="138"/>
      <x:c r="L137" s="138"/>
      <x:c r="M137" s="138"/>
      <x:c r="N137" s="138"/>
      <x:c r="O137" s="138"/>
      <x:c r="P137" s="138"/>
      <x:c r="Q137" s="138"/>
      <x:c r="R137" s="138"/>
      <x:c r="S137" s="138"/>
      <x:c r="T137" s="138"/>
      <x:c r="U137" s="138"/>
      <x:c r="V137" s="138"/>
      <x:c r="W137" s="138"/>
      <x:c r="X137" s="138"/>
      <x:c r="Y137" s="138"/>
      <x:c r="Z137" s="138"/>
    </x:row>
    <x:row r="138">
      <x:c r="A138" s="138"/>
      <x:c r="B138" s="138"/>
      <x:c r="C138" s="138"/>
      <x:c r="D138" s="138"/>
      <x:c r="E138" s="138"/>
      <x:c r="F138" s="138"/>
      <x:c r="G138" s="138"/>
      <x:c r="H138" s="138"/>
      <x:c r="I138" s="138"/>
      <x:c r="J138" s="138"/>
      <x:c r="K138" s="138"/>
      <x:c r="L138" s="138"/>
      <x:c r="M138" s="138"/>
      <x:c r="N138" s="138"/>
      <x:c r="O138" s="138"/>
      <x:c r="P138" s="138"/>
      <x:c r="Q138" s="138"/>
      <x:c r="R138" s="138"/>
      <x:c r="S138" s="138"/>
      <x:c r="T138" s="138"/>
      <x:c r="U138" s="138"/>
      <x:c r="V138" s="138"/>
      <x:c r="W138" s="138"/>
      <x:c r="X138" s="138"/>
      <x:c r="Y138" s="138"/>
      <x:c r="Z138" s="138"/>
    </x:row>
    <x:row r="139">
      <x:c r="A139" s="138"/>
      <x:c r="B139" s="138"/>
      <x:c r="C139" s="138"/>
      <x:c r="D139" s="138"/>
      <x:c r="E139" s="138"/>
      <x:c r="F139" s="138"/>
      <x:c r="G139" s="138"/>
      <x:c r="H139" s="138"/>
      <x:c r="I139" s="138"/>
      <x:c r="J139" s="138"/>
      <x:c r="K139" s="138"/>
      <x:c r="L139" s="138"/>
      <x:c r="M139" s="138"/>
      <x:c r="N139" s="138"/>
      <x:c r="O139" s="138"/>
      <x:c r="P139" s="138"/>
      <x:c r="Q139" s="138"/>
      <x:c r="R139" s="138"/>
      <x:c r="S139" s="138"/>
      <x:c r="T139" s="138"/>
      <x:c r="U139" s="138"/>
      <x:c r="V139" s="138"/>
      <x:c r="W139" s="138"/>
      <x:c r="X139" s="138"/>
      <x:c r="Y139" s="138"/>
      <x:c r="Z139" s="138"/>
    </x:row>
    <x:row r="140">
      <x:c r="A140" s="138"/>
      <x:c r="B140" s="138"/>
      <x:c r="C140" s="138"/>
      <x:c r="D140" s="138"/>
      <x:c r="E140" s="138"/>
      <x:c r="F140" s="138"/>
      <x:c r="G140" s="138"/>
      <x:c r="H140" s="138"/>
      <x:c r="I140" s="138"/>
      <x:c r="J140" s="138"/>
      <x:c r="K140" s="138"/>
      <x:c r="L140" s="138"/>
      <x:c r="M140" s="138"/>
      <x:c r="N140" s="138"/>
      <x:c r="O140" s="138"/>
      <x:c r="P140" s="138"/>
      <x:c r="Q140" s="138"/>
      <x:c r="R140" s="138"/>
      <x:c r="S140" s="138"/>
      <x:c r="T140" s="138"/>
      <x:c r="U140" s="138"/>
      <x:c r="V140" s="138"/>
      <x:c r="W140" s="138"/>
      <x:c r="X140" s="138"/>
      <x:c r="Y140" s="138"/>
      <x:c r="Z140" s="138"/>
    </x:row>
    <x:row r="141">
      <x:c r="A141" s="138"/>
      <x:c r="B141" s="138"/>
      <x:c r="C141" s="138"/>
      <x:c r="D141" s="138"/>
      <x:c r="E141" s="138"/>
      <x:c r="F141" s="138"/>
      <x:c r="G141" s="138"/>
      <x:c r="H141" s="138"/>
      <x:c r="I141" s="138"/>
      <x:c r="J141" s="138"/>
      <x:c r="K141" s="138"/>
      <x:c r="L141" s="138"/>
      <x:c r="M141" s="138"/>
      <x:c r="N141" s="138"/>
      <x:c r="O141" s="138"/>
      <x:c r="P141" s="138"/>
      <x:c r="Q141" s="138"/>
      <x:c r="R141" s="138"/>
      <x:c r="S141" s="138"/>
      <x:c r="T141" s="138"/>
      <x:c r="U141" s="138"/>
      <x:c r="V141" s="138"/>
      <x:c r="W141" s="138"/>
      <x:c r="X141" s="138"/>
      <x:c r="Y141" s="138"/>
      <x:c r="Z141" s="138"/>
    </x:row>
    <x:row r="142">
      <x:c r="A142" s="138"/>
      <x:c r="B142" s="138"/>
      <x:c r="C142" s="138"/>
      <x:c r="D142" s="138"/>
      <x:c r="E142" s="138"/>
      <x:c r="F142" s="138"/>
      <x:c r="G142" s="138"/>
      <x:c r="H142" s="138"/>
      <x:c r="I142" s="138"/>
      <x:c r="J142" s="138"/>
      <x:c r="K142" s="138"/>
      <x:c r="L142" s="138"/>
      <x:c r="M142" s="138"/>
      <x:c r="N142" s="138"/>
      <x:c r="O142" s="138"/>
      <x:c r="P142" s="138"/>
      <x:c r="Q142" s="138"/>
      <x:c r="R142" s="138"/>
      <x:c r="S142" s="138"/>
      <x:c r="T142" s="138"/>
      <x:c r="U142" s="138"/>
      <x:c r="V142" s="138"/>
      <x:c r="W142" s="138"/>
      <x:c r="X142" s="138"/>
      <x:c r="Y142" s="138"/>
      <x:c r="Z142" s="138"/>
    </x:row>
    <x:row r="143">
      <x:c r="A143" s="138"/>
      <x:c r="B143" s="138"/>
      <x:c r="C143" s="138"/>
      <x:c r="D143" s="138"/>
      <x:c r="E143" s="138"/>
      <x:c r="F143" s="138"/>
      <x:c r="G143" s="138"/>
      <x:c r="H143" s="138"/>
      <x:c r="I143" s="138"/>
      <x:c r="J143" s="138"/>
      <x:c r="K143" s="138"/>
      <x:c r="L143" s="138"/>
      <x:c r="M143" s="138"/>
      <x:c r="N143" s="138"/>
      <x:c r="O143" s="138"/>
      <x:c r="P143" s="138"/>
      <x:c r="Q143" s="138"/>
      <x:c r="R143" s="138"/>
      <x:c r="S143" s="138"/>
      <x:c r="T143" s="138"/>
      <x:c r="U143" s="138"/>
      <x:c r="V143" s="138"/>
      <x:c r="W143" s="138"/>
      <x:c r="X143" s="138"/>
      <x:c r="Y143" s="138"/>
      <x:c r="Z143" s="138"/>
    </x:row>
    <x:row r="144">
      <x:c r="A144" s="138"/>
      <x:c r="B144" s="138"/>
      <x:c r="C144" s="138"/>
      <x:c r="D144" s="138"/>
      <x:c r="E144" s="138"/>
      <x:c r="F144" s="138"/>
      <x:c r="G144" s="138"/>
      <x:c r="H144" s="138"/>
      <x:c r="I144" s="138"/>
      <x:c r="J144" s="138"/>
      <x:c r="K144" s="138"/>
      <x:c r="L144" s="138"/>
      <x:c r="M144" s="138"/>
      <x:c r="N144" s="138"/>
      <x:c r="O144" s="138"/>
      <x:c r="P144" s="138"/>
      <x:c r="Q144" s="138"/>
      <x:c r="R144" s="138"/>
      <x:c r="S144" s="138"/>
      <x:c r="T144" s="138"/>
      <x:c r="U144" s="138"/>
      <x:c r="V144" s="138"/>
      <x:c r="W144" s="138"/>
      <x:c r="X144" s="138"/>
      <x:c r="Y144" s="138"/>
      <x:c r="Z144" s="138"/>
    </x:row>
    <x:row r="145">
      <x:c r="A145" s="138"/>
      <x:c r="B145" s="138"/>
      <x:c r="C145" s="138"/>
      <x:c r="D145" s="138"/>
      <x:c r="E145" s="138"/>
      <x:c r="F145" s="138"/>
      <x:c r="G145" s="138"/>
      <x:c r="H145" s="138"/>
      <x:c r="I145" s="138"/>
      <x:c r="J145" s="138"/>
      <x:c r="K145" s="138"/>
      <x:c r="L145" s="138"/>
      <x:c r="M145" s="138"/>
      <x:c r="N145" s="138"/>
      <x:c r="O145" s="138"/>
      <x:c r="P145" s="138"/>
      <x:c r="Q145" s="138"/>
      <x:c r="R145" s="138"/>
      <x:c r="S145" s="138"/>
      <x:c r="T145" s="138"/>
      <x:c r="U145" s="138"/>
      <x:c r="V145" s="138"/>
      <x:c r="W145" s="138"/>
      <x:c r="X145" s="138"/>
      <x:c r="Y145" s="138"/>
      <x:c r="Z145" s="138"/>
    </x:row>
    <x:row r="146">
      <x:c r="A146" s="138"/>
      <x:c r="B146" s="138"/>
      <x:c r="C146" s="138"/>
      <x:c r="D146" s="138"/>
      <x:c r="E146" s="138"/>
      <x:c r="F146" s="138"/>
      <x:c r="G146" s="138"/>
      <x:c r="H146" s="138"/>
      <x:c r="I146" s="138"/>
      <x:c r="J146" s="138"/>
      <x:c r="K146" s="138"/>
      <x:c r="L146" s="138"/>
      <x:c r="M146" s="138"/>
      <x:c r="N146" s="138"/>
      <x:c r="O146" s="138"/>
      <x:c r="P146" s="138"/>
      <x:c r="Q146" s="138"/>
      <x:c r="R146" s="138"/>
      <x:c r="S146" s="138"/>
      <x:c r="T146" s="138"/>
      <x:c r="U146" s="138"/>
      <x:c r="V146" s="138"/>
      <x:c r="W146" s="138"/>
      <x:c r="X146" s="138"/>
      <x:c r="Y146" s="138"/>
      <x:c r="Z146" s="138"/>
    </x:row>
    <x:row r="147">
      <x:c r="A147" s="138"/>
      <x:c r="B147" s="138"/>
      <x:c r="C147" s="138"/>
      <x:c r="D147" s="138"/>
      <x:c r="E147" s="138"/>
      <x:c r="F147" s="138"/>
      <x:c r="G147" s="138"/>
      <x:c r="H147" s="138"/>
      <x:c r="I147" s="138"/>
      <x:c r="J147" s="138"/>
      <x:c r="K147" s="138"/>
      <x:c r="L147" s="138"/>
      <x:c r="M147" s="138"/>
      <x:c r="N147" s="138"/>
      <x:c r="O147" s="138"/>
      <x:c r="P147" s="138"/>
      <x:c r="Q147" s="138"/>
      <x:c r="R147" s="138"/>
      <x:c r="S147" s="138"/>
      <x:c r="T147" s="138"/>
      <x:c r="U147" s="138"/>
      <x:c r="V147" s="138"/>
      <x:c r="W147" s="138"/>
      <x:c r="X147" s="138"/>
      <x:c r="Y147" s="138"/>
      <x:c r="Z147" s="138"/>
    </x:row>
    <x:row r="148">
      <x:c r="A148" s="138"/>
      <x:c r="B148" s="138"/>
      <x:c r="C148" s="138"/>
      <x:c r="D148" s="138"/>
      <x:c r="E148" s="138"/>
      <x:c r="F148" s="138"/>
      <x:c r="G148" s="138"/>
      <x:c r="H148" s="138"/>
      <x:c r="I148" s="138"/>
      <x:c r="J148" s="138"/>
      <x:c r="K148" s="138"/>
      <x:c r="L148" s="138"/>
      <x:c r="M148" s="138"/>
      <x:c r="N148" s="138"/>
      <x:c r="O148" s="138"/>
      <x:c r="P148" s="138"/>
      <x:c r="Q148" s="138"/>
      <x:c r="R148" s="138"/>
      <x:c r="S148" s="138"/>
      <x:c r="T148" s="138"/>
      <x:c r="U148" s="138"/>
      <x:c r="V148" s="138"/>
      <x:c r="W148" s="138"/>
      <x:c r="X148" s="138"/>
      <x:c r="Y148" s="138"/>
      <x:c r="Z148" s="138"/>
    </x:row>
    <x:row r="149">
      <x:c r="A149" s="138"/>
      <x:c r="B149" s="138"/>
      <x:c r="C149" s="138"/>
      <x:c r="D149" s="138"/>
      <x:c r="E149" s="138"/>
      <x:c r="F149" s="138"/>
      <x:c r="G149" s="138"/>
      <x:c r="H149" s="138"/>
      <x:c r="I149" s="138"/>
      <x:c r="J149" s="138"/>
      <x:c r="K149" s="138"/>
      <x:c r="L149" s="138"/>
      <x:c r="M149" s="138"/>
      <x:c r="N149" s="138"/>
      <x:c r="O149" s="138"/>
      <x:c r="P149" s="138"/>
      <x:c r="Q149" s="138"/>
      <x:c r="R149" s="138"/>
      <x:c r="S149" s="138"/>
      <x:c r="T149" s="138"/>
      <x:c r="U149" s="138"/>
      <x:c r="V149" s="138"/>
      <x:c r="W149" s="138"/>
      <x:c r="X149" s="138"/>
      <x:c r="Y149" s="138"/>
      <x:c r="Z149" s="138"/>
    </x:row>
    <x:row r="150">
      <x:c r="A150" s="138"/>
      <x:c r="B150" s="138"/>
      <x:c r="C150" s="138"/>
      <x:c r="D150" s="138"/>
      <x:c r="E150" s="138"/>
      <x:c r="F150" s="138"/>
      <x:c r="G150" s="138"/>
      <x:c r="H150" s="138"/>
      <x:c r="I150" s="138"/>
      <x:c r="J150" s="138"/>
      <x:c r="K150" s="138"/>
      <x:c r="L150" s="138"/>
      <x:c r="M150" s="138"/>
      <x:c r="N150" s="138"/>
      <x:c r="O150" s="138"/>
      <x:c r="P150" s="138"/>
      <x:c r="Q150" s="138"/>
      <x:c r="R150" s="138"/>
      <x:c r="S150" s="138"/>
      <x:c r="T150" s="138"/>
      <x:c r="U150" s="138"/>
      <x:c r="V150" s="138"/>
      <x:c r="W150" s="138"/>
      <x:c r="X150" s="138"/>
      <x:c r="Y150" s="138"/>
      <x:c r="Z150" s="138"/>
    </x:row>
    <x:row r="151">
      <x:c r="A151" s="138"/>
      <x:c r="B151" s="138"/>
      <x:c r="C151" s="138"/>
      <x:c r="D151" s="138"/>
      <x:c r="E151" s="138"/>
      <x:c r="F151" s="138"/>
      <x:c r="G151" s="138"/>
      <x:c r="H151" s="138"/>
      <x:c r="I151" s="138"/>
      <x:c r="J151" s="138"/>
      <x:c r="K151" s="138"/>
      <x:c r="L151" s="138"/>
      <x:c r="M151" s="138"/>
      <x:c r="N151" s="138"/>
      <x:c r="O151" s="138"/>
      <x:c r="P151" s="138"/>
      <x:c r="Q151" s="138"/>
      <x:c r="R151" s="138"/>
      <x:c r="S151" s="138"/>
      <x:c r="T151" s="138"/>
      <x:c r="U151" s="138"/>
      <x:c r="V151" s="138"/>
      <x:c r="W151" s="138"/>
      <x:c r="X151" s="138"/>
      <x:c r="Y151" s="138"/>
      <x:c r="Z151" s="138"/>
    </x:row>
    <x:row r="152">
      <x:c r="A152" s="138"/>
      <x:c r="B152" s="138"/>
      <x:c r="C152" s="138"/>
      <x:c r="D152" s="138"/>
      <x:c r="E152" s="138"/>
      <x:c r="F152" s="138"/>
      <x:c r="G152" s="138"/>
      <x:c r="H152" s="138"/>
      <x:c r="I152" s="138"/>
      <x:c r="J152" s="138"/>
      <x:c r="K152" s="138"/>
      <x:c r="L152" s="138"/>
      <x:c r="M152" s="138"/>
      <x:c r="N152" s="138"/>
      <x:c r="O152" s="138"/>
      <x:c r="P152" s="138"/>
      <x:c r="Q152" s="138"/>
      <x:c r="R152" s="138"/>
      <x:c r="S152" s="138"/>
      <x:c r="T152" s="138"/>
      <x:c r="U152" s="138"/>
      <x:c r="V152" s="138"/>
      <x:c r="W152" s="138"/>
      <x:c r="X152" s="138"/>
      <x:c r="Y152" s="138"/>
      <x:c r="Z152" s="138"/>
    </x:row>
    <x:row r="153">
      <x:c r="A153" s="138"/>
      <x:c r="B153" s="138"/>
      <x:c r="C153" s="138"/>
      <x:c r="D153" s="138"/>
      <x:c r="E153" s="138"/>
      <x:c r="F153" s="138"/>
      <x:c r="G153" s="138"/>
      <x:c r="H153" s="138"/>
      <x:c r="I153" s="138"/>
      <x:c r="J153" s="138"/>
      <x:c r="K153" s="138"/>
      <x:c r="L153" s="138"/>
      <x:c r="M153" s="138"/>
      <x:c r="N153" s="138"/>
      <x:c r="O153" s="138"/>
      <x:c r="P153" s="138"/>
      <x:c r="Q153" s="138"/>
      <x:c r="R153" s="138"/>
      <x:c r="S153" s="138"/>
      <x:c r="T153" s="138"/>
      <x:c r="U153" s="138"/>
      <x:c r="V153" s="138"/>
      <x:c r="W153" s="138"/>
      <x:c r="X153" s="138"/>
      <x:c r="Y153" s="138"/>
      <x:c r="Z153" s="138"/>
    </x:row>
    <x:row r="154">
      <x:c r="A154" s="138"/>
      <x:c r="B154" s="138"/>
      <x:c r="C154" s="138"/>
      <x:c r="D154" s="138"/>
      <x:c r="E154" s="138"/>
      <x:c r="F154" s="138"/>
      <x:c r="G154" s="138"/>
      <x:c r="H154" s="138"/>
      <x:c r="I154" s="138"/>
      <x:c r="J154" s="138"/>
      <x:c r="K154" s="138"/>
      <x:c r="L154" s="138"/>
      <x:c r="M154" s="138"/>
      <x:c r="N154" s="138"/>
      <x:c r="O154" s="138"/>
      <x:c r="P154" s="138"/>
      <x:c r="Q154" s="138"/>
      <x:c r="R154" s="138"/>
      <x:c r="S154" s="138"/>
      <x:c r="T154" s="138"/>
      <x:c r="U154" s="138"/>
      <x:c r="V154" s="138"/>
      <x:c r="W154" s="138"/>
      <x:c r="X154" s="138"/>
      <x:c r="Y154" s="138"/>
      <x:c r="Z154" s="138"/>
    </x:row>
    <x:row r="155">
      <x:c r="A155" s="138"/>
      <x:c r="B155" s="138"/>
      <x:c r="C155" s="138"/>
      <x:c r="D155" s="138"/>
      <x:c r="E155" s="138"/>
      <x:c r="F155" s="138"/>
      <x:c r="G155" s="138"/>
      <x:c r="H155" s="138"/>
      <x:c r="I155" s="138"/>
      <x:c r="J155" s="138"/>
      <x:c r="K155" s="138"/>
      <x:c r="L155" s="138"/>
      <x:c r="M155" s="138"/>
      <x:c r="N155" s="138"/>
      <x:c r="O155" s="138"/>
      <x:c r="P155" s="138"/>
      <x:c r="Q155" s="138"/>
      <x:c r="R155" s="138"/>
      <x:c r="S155" s="138"/>
      <x:c r="T155" s="138"/>
      <x:c r="U155" s="138"/>
      <x:c r="V155" s="138"/>
      <x:c r="W155" s="138"/>
      <x:c r="X155" s="138"/>
      <x:c r="Y155" s="138"/>
      <x:c r="Z155" s="138"/>
    </x:row>
    <x:row r="156">
      <x:c r="A156" s="138"/>
      <x:c r="B156" s="138"/>
      <x:c r="C156" s="138"/>
      <x:c r="D156" s="138"/>
      <x:c r="E156" s="138"/>
      <x:c r="F156" s="138"/>
      <x:c r="G156" s="138"/>
      <x:c r="H156" s="138"/>
      <x:c r="I156" s="138"/>
      <x:c r="J156" s="138"/>
      <x:c r="K156" s="138"/>
      <x:c r="L156" s="138"/>
      <x:c r="M156" s="138"/>
      <x:c r="N156" s="138"/>
      <x:c r="O156" s="138"/>
      <x:c r="P156" s="138"/>
      <x:c r="Q156" s="138"/>
      <x:c r="R156" s="138"/>
      <x:c r="S156" s="138"/>
      <x:c r="T156" s="138"/>
      <x:c r="U156" s="138"/>
      <x:c r="V156" s="138"/>
      <x:c r="W156" s="138"/>
      <x:c r="X156" s="138"/>
      <x:c r="Y156" s="138"/>
      <x:c r="Z156" s="138"/>
    </x:row>
    <x:row r="157">
      <x:c r="A157" s="138"/>
      <x:c r="B157" s="138"/>
      <x:c r="C157" s="138"/>
      <x:c r="D157" s="138"/>
      <x:c r="E157" s="138"/>
      <x:c r="F157" s="138"/>
      <x:c r="G157" s="138"/>
      <x:c r="H157" s="138"/>
      <x:c r="I157" s="138"/>
      <x:c r="J157" s="138"/>
      <x:c r="K157" s="138"/>
      <x:c r="L157" s="138"/>
      <x:c r="M157" s="138"/>
      <x:c r="N157" s="138"/>
      <x:c r="O157" s="138"/>
      <x:c r="P157" s="138"/>
      <x:c r="Q157" s="138"/>
      <x:c r="R157" s="138"/>
      <x:c r="S157" s="138"/>
      <x:c r="T157" s="138"/>
      <x:c r="U157" s="138"/>
      <x:c r="V157" s="138"/>
      <x:c r="W157" s="138"/>
      <x:c r="X157" s="138"/>
      <x:c r="Y157" s="138"/>
      <x:c r="Z157" s="138"/>
    </x:row>
    <x:row r="158">
      <x:c r="A158" s="138"/>
      <x:c r="B158" s="138"/>
      <x:c r="C158" s="138"/>
      <x:c r="D158" s="138"/>
      <x:c r="E158" s="138"/>
      <x:c r="F158" s="138"/>
      <x:c r="G158" s="138"/>
      <x:c r="H158" s="138"/>
      <x:c r="I158" s="138"/>
      <x:c r="J158" s="138"/>
      <x:c r="K158" s="138"/>
      <x:c r="L158" s="138"/>
      <x:c r="M158" s="138"/>
      <x:c r="N158" s="138"/>
      <x:c r="O158" s="138"/>
      <x:c r="P158" s="138"/>
      <x:c r="Q158" s="138"/>
      <x:c r="R158" s="138"/>
      <x:c r="S158" s="138"/>
      <x:c r="T158" s="138"/>
      <x:c r="U158" s="138"/>
      <x:c r="V158" s="138"/>
      <x:c r="W158" s="138"/>
      <x:c r="X158" s="138"/>
      <x:c r="Y158" s="138"/>
      <x:c r="Z158" s="138"/>
    </x:row>
    <x:row r="159">
      <x:c r="A159" s="138"/>
      <x:c r="B159" s="138"/>
      <x:c r="C159" s="138"/>
      <x:c r="D159" s="138"/>
      <x:c r="E159" s="138"/>
      <x:c r="F159" s="138"/>
      <x:c r="G159" s="138"/>
      <x:c r="H159" s="138"/>
      <x:c r="I159" s="138"/>
      <x:c r="J159" s="138"/>
      <x:c r="K159" s="138"/>
      <x:c r="L159" s="138"/>
      <x:c r="M159" s="138"/>
      <x:c r="N159" s="138"/>
      <x:c r="O159" s="138"/>
      <x:c r="P159" s="138"/>
      <x:c r="Q159" s="138"/>
      <x:c r="R159" s="138"/>
      <x:c r="S159" s="138"/>
      <x:c r="T159" s="138"/>
      <x:c r="U159" s="138"/>
      <x:c r="V159" s="138"/>
      <x:c r="W159" s="138"/>
      <x:c r="X159" s="138"/>
      <x:c r="Y159" s="138"/>
      <x:c r="Z159" s="138"/>
    </x:row>
    <x:row r="160">
      <x:c r="A160" s="138"/>
      <x:c r="B160" s="138"/>
      <x:c r="C160" s="138"/>
      <x:c r="D160" s="138"/>
      <x:c r="E160" s="138"/>
      <x:c r="F160" s="138"/>
      <x:c r="G160" s="138"/>
      <x:c r="H160" s="138"/>
      <x:c r="I160" s="138"/>
      <x:c r="J160" s="138"/>
      <x:c r="K160" s="138"/>
      <x:c r="L160" s="138"/>
      <x:c r="M160" s="138"/>
      <x:c r="N160" s="138"/>
      <x:c r="O160" s="138"/>
      <x:c r="P160" s="138"/>
      <x:c r="Q160" s="138"/>
      <x:c r="R160" s="138"/>
      <x:c r="S160" s="138"/>
      <x:c r="T160" s="138"/>
      <x:c r="U160" s="138"/>
      <x:c r="V160" s="138"/>
      <x:c r="W160" s="138"/>
      <x:c r="X160" s="138"/>
      <x:c r="Y160" s="138"/>
      <x:c r="Z160" s="138"/>
    </x:row>
    <x:row r="161">
      <x:c r="A161" s="138"/>
      <x:c r="B161" s="138"/>
      <x:c r="C161" s="138"/>
      <x:c r="D161" s="138"/>
      <x:c r="E161" s="138"/>
      <x:c r="F161" s="138"/>
      <x:c r="G161" s="138"/>
      <x:c r="H161" s="138"/>
      <x:c r="I161" s="138"/>
      <x:c r="J161" s="138"/>
      <x:c r="K161" s="138"/>
      <x:c r="L161" s="138"/>
      <x:c r="M161" s="138"/>
      <x:c r="N161" s="138"/>
      <x:c r="O161" s="138"/>
      <x:c r="P161" s="138"/>
      <x:c r="Q161" s="138"/>
      <x:c r="R161" s="138"/>
      <x:c r="S161" s="138"/>
      <x:c r="T161" s="138"/>
      <x:c r="U161" s="138"/>
      <x:c r="V161" s="138"/>
      <x:c r="W161" s="138"/>
      <x:c r="X161" s="138"/>
      <x:c r="Y161" s="138"/>
      <x:c r="Z161" s="138"/>
    </x:row>
    <x:row r="162">
      <x:c r="A162" s="138"/>
      <x:c r="B162" s="138"/>
      <x:c r="C162" s="138"/>
      <x:c r="D162" s="138"/>
      <x:c r="E162" s="138"/>
      <x:c r="F162" s="138"/>
      <x:c r="G162" s="138"/>
      <x:c r="H162" s="138"/>
      <x:c r="I162" s="138"/>
      <x:c r="J162" s="138"/>
      <x:c r="K162" s="138"/>
      <x:c r="L162" s="138"/>
      <x:c r="M162" s="138"/>
      <x:c r="N162" s="138"/>
      <x:c r="O162" s="138"/>
      <x:c r="P162" s="138"/>
      <x:c r="Q162" s="138"/>
      <x:c r="R162" s="138"/>
      <x:c r="S162" s="138"/>
      <x:c r="T162" s="138"/>
      <x:c r="U162" s="138"/>
      <x:c r="V162" s="138"/>
      <x:c r="W162" s="138"/>
      <x:c r="X162" s="138"/>
      <x:c r="Y162" s="138"/>
      <x:c r="Z162" s="138"/>
    </x:row>
    <x:row r="163">
      <x:c r="A163" s="138"/>
      <x:c r="B163" s="138"/>
      <x:c r="C163" s="138"/>
      <x:c r="D163" s="138"/>
      <x:c r="E163" s="138"/>
      <x:c r="F163" s="138"/>
      <x:c r="G163" s="138"/>
      <x:c r="H163" s="138"/>
      <x:c r="I163" s="138"/>
      <x:c r="J163" s="138"/>
      <x:c r="K163" s="138"/>
      <x:c r="L163" s="138"/>
      <x:c r="M163" s="138"/>
      <x:c r="N163" s="138"/>
      <x:c r="O163" s="138"/>
      <x:c r="P163" s="138"/>
      <x:c r="Q163" s="138"/>
      <x:c r="R163" s="138"/>
      <x:c r="S163" s="138"/>
      <x:c r="T163" s="138"/>
      <x:c r="U163" s="138"/>
      <x:c r="V163" s="138"/>
      <x:c r="W163" s="138"/>
      <x:c r="X163" s="138"/>
      <x:c r="Y163" s="138"/>
      <x:c r="Z163" s="138"/>
    </x:row>
    <x:row r="164">
      <x:c r="A164" s="138"/>
      <x:c r="B164" s="138"/>
      <x:c r="C164" s="138"/>
      <x:c r="D164" s="138"/>
      <x:c r="E164" s="138"/>
      <x:c r="F164" s="138"/>
      <x:c r="G164" s="138"/>
      <x:c r="H164" s="138"/>
      <x:c r="I164" s="138"/>
      <x:c r="J164" s="138"/>
      <x:c r="K164" s="138"/>
      <x:c r="L164" s="138"/>
      <x:c r="M164" s="138"/>
      <x:c r="N164" s="138"/>
      <x:c r="O164" s="138"/>
      <x:c r="P164" s="138"/>
      <x:c r="Q164" s="138"/>
      <x:c r="R164" s="138"/>
      <x:c r="S164" s="138"/>
      <x:c r="T164" s="138"/>
      <x:c r="U164" s="138"/>
      <x:c r="V164" s="138"/>
      <x:c r="W164" s="138"/>
      <x:c r="X164" s="138"/>
      <x:c r="Y164" s="138"/>
      <x:c r="Z164" s="138"/>
    </x:row>
    <x:row r="165">
      <x:c r="A165" s="138"/>
      <x:c r="B165" s="138"/>
      <x:c r="C165" s="138"/>
      <x:c r="D165" s="138"/>
      <x:c r="E165" s="138"/>
      <x:c r="F165" s="138"/>
      <x:c r="G165" s="138"/>
      <x:c r="H165" s="138"/>
      <x:c r="I165" s="138"/>
      <x:c r="J165" s="138"/>
      <x:c r="K165" s="138"/>
      <x:c r="L165" s="138"/>
      <x:c r="M165" s="138"/>
      <x:c r="N165" s="138"/>
      <x:c r="O165" s="138"/>
      <x:c r="P165" s="138"/>
      <x:c r="Q165" s="138"/>
      <x:c r="R165" s="138"/>
      <x:c r="S165" s="138"/>
      <x:c r="T165" s="138"/>
      <x:c r="U165" s="138"/>
      <x:c r="V165" s="138"/>
      <x:c r="W165" s="138"/>
      <x:c r="X165" s="138"/>
      <x:c r="Y165" s="138"/>
      <x:c r="Z165" s="138"/>
    </x:row>
    <x:row r="166">
      <x:c r="A166" s="138"/>
      <x:c r="B166" s="138"/>
      <x:c r="C166" s="138"/>
      <x:c r="D166" s="138"/>
      <x:c r="E166" s="138"/>
      <x:c r="F166" s="138"/>
      <x:c r="G166" s="138"/>
      <x:c r="H166" s="138"/>
      <x:c r="I166" s="138"/>
      <x:c r="J166" s="138"/>
      <x:c r="K166" s="138"/>
      <x:c r="L166" s="138"/>
      <x:c r="M166" s="138"/>
      <x:c r="N166" s="138"/>
      <x:c r="O166" s="138"/>
      <x:c r="P166" s="138"/>
      <x:c r="Q166" s="138"/>
      <x:c r="R166" s="138"/>
      <x:c r="S166" s="138"/>
      <x:c r="T166" s="138"/>
      <x:c r="U166" s="138"/>
      <x:c r="V166" s="138"/>
      <x:c r="W166" s="138"/>
      <x:c r="X166" s="138"/>
      <x:c r="Y166" s="138"/>
      <x:c r="Z166" s="138"/>
    </x:row>
    <x:row r="167">
      <x:c r="A167" s="138"/>
      <x:c r="B167" s="138"/>
      <x:c r="C167" s="138"/>
      <x:c r="D167" s="138"/>
      <x:c r="E167" s="138"/>
      <x:c r="F167" s="138"/>
      <x:c r="G167" s="138"/>
      <x:c r="H167" s="138"/>
      <x:c r="I167" s="138"/>
      <x:c r="J167" s="138"/>
      <x:c r="K167" s="138"/>
      <x:c r="L167" s="138"/>
      <x:c r="M167" s="138"/>
      <x:c r="N167" s="138"/>
      <x:c r="O167" s="138"/>
      <x:c r="P167" s="138"/>
      <x:c r="Q167" s="138"/>
      <x:c r="R167" s="138"/>
      <x:c r="S167" s="138"/>
      <x:c r="T167" s="138"/>
      <x:c r="U167" s="138"/>
      <x:c r="V167" s="138"/>
      <x:c r="W167" s="138"/>
      <x:c r="X167" s="138"/>
      <x:c r="Y167" s="138"/>
      <x:c r="Z167" s="138"/>
    </x:row>
    <x:row r="168">
      <x:c r="A168" s="138"/>
      <x:c r="B168" s="138"/>
      <x:c r="C168" s="138"/>
      <x:c r="D168" s="138"/>
      <x:c r="E168" s="138"/>
      <x:c r="F168" s="138"/>
      <x:c r="G168" s="138"/>
      <x:c r="H168" s="138"/>
      <x:c r="I168" s="138"/>
      <x:c r="J168" s="138"/>
      <x:c r="K168" s="138"/>
      <x:c r="L168" s="138"/>
      <x:c r="M168" s="138"/>
      <x:c r="N168" s="138"/>
      <x:c r="O168" s="138"/>
      <x:c r="P168" s="138"/>
      <x:c r="Q168" s="138"/>
      <x:c r="R168" s="138"/>
      <x:c r="S168" s="138"/>
      <x:c r="T168" s="138"/>
      <x:c r="U168" s="138"/>
      <x:c r="V168" s="138"/>
      <x:c r="W168" s="138"/>
      <x:c r="X168" s="138"/>
      <x:c r="Y168" s="138"/>
      <x:c r="Z168" s="138"/>
    </x:row>
    <x:row r="169">
      <x:c r="A169" s="138"/>
      <x:c r="B169" s="138"/>
      <x:c r="C169" s="138"/>
      <x:c r="D169" s="138"/>
      <x:c r="E169" s="138"/>
      <x:c r="F169" s="138"/>
      <x:c r="G169" s="138"/>
      <x:c r="H169" s="138"/>
      <x:c r="I169" s="138"/>
      <x:c r="J169" s="138"/>
      <x:c r="K169" s="138"/>
      <x:c r="L169" s="138"/>
      <x:c r="M169" s="138"/>
      <x:c r="N169" s="138"/>
      <x:c r="O169" s="138"/>
      <x:c r="P169" s="138"/>
      <x:c r="Q169" s="138"/>
      <x:c r="R169" s="138"/>
      <x:c r="S169" s="138"/>
      <x:c r="T169" s="138"/>
      <x:c r="U169" s="138"/>
      <x:c r="V169" s="138"/>
      <x:c r="W169" s="138"/>
      <x:c r="X169" s="138"/>
      <x:c r="Y169" s="138"/>
      <x:c r="Z169" s="138"/>
    </x:row>
    <x:row r="170">
      <x:c r="A170" s="138"/>
      <x:c r="B170" s="138"/>
      <x:c r="C170" s="138"/>
      <x:c r="D170" s="138"/>
      <x:c r="E170" s="138"/>
      <x:c r="F170" s="138"/>
      <x:c r="G170" s="138"/>
      <x:c r="H170" s="138"/>
      <x:c r="I170" s="138"/>
      <x:c r="J170" s="138"/>
      <x:c r="K170" s="138"/>
      <x:c r="L170" s="138"/>
      <x:c r="M170" s="138"/>
      <x:c r="N170" s="138"/>
      <x:c r="O170" s="138"/>
      <x:c r="P170" s="138"/>
      <x:c r="Q170" s="138"/>
      <x:c r="R170" s="138"/>
      <x:c r="S170" s="138"/>
      <x:c r="T170" s="138"/>
      <x:c r="U170" s="138"/>
      <x:c r="V170" s="138"/>
      <x:c r="W170" s="138"/>
      <x:c r="X170" s="138"/>
      <x:c r="Y170" s="138"/>
      <x:c r="Z170" s="138"/>
    </x:row>
    <x:row r="171">
      <x:c r="A171" s="138"/>
      <x:c r="B171" s="138"/>
      <x:c r="C171" s="138"/>
      <x:c r="D171" s="138"/>
      <x:c r="E171" s="138"/>
      <x:c r="F171" s="138"/>
      <x:c r="G171" s="138"/>
      <x:c r="H171" s="138"/>
      <x:c r="I171" s="138"/>
      <x:c r="J171" s="138"/>
      <x:c r="K171" s="138"/>
      <x:c r="L171" s="138"/>
      <x:c r="M171" s="138"/>
      <x:c r="N171" s="138"/>
      <x:c r="O171" s="138"/>
      <x:c r="P171" s="138"/>
      <x:c r="Q171" s="138"/>
      <x:c r="R171" s="138"/>
      <x:c r="S171" s="138"/>
      <x:c r="T171" s="138"/>
      <x:c r="U171" s="138"/>
      <x:c r="V171" s="138"/>
      <x:c r="W171" s="138"/>
      <x:c r="X171" s="138"/>
      <x:c r="Y171" s="138"/>
      <x:c r="Z171" s="138"/>
    </x:row>
    <x:row r="172">
      <x:c r="A172" s="138"/>
      <x:c r="B172" s="138"/>
      <x:c r="C172" s="138"/>
      <x:c r="D172" s="138"/>
      <x:c r="E172" s="138"/>
      <x:c r="F172" s="138"/>
      <x:c r="G172" s="138"/>
      <x:c r="H172" s="138"/>
      <x:c r="I172" s="138"/>
      <x:c r="J172" s="138"/>
      <x:c r="K172" s="138"/>
      <x:c r="L172" s="138"/>
      <x:c r="M172" s="138"/>
      <x:c r="N172" s="138"/>
      <x:c r="O172" s="138"/>
      <x:c r="P172" s="138"/>
      <x:c r="Q172" s="138"/>
      <x:c r="R172" s="138"/>
      <x:c r="S172" s="138"/>
      <x:c r="T172" s="138"/>
      <x:c r="U172" s="138"/>
      <x:c r="V172" s="138"/>
      <x:c r="W172" s="138"/>
      <x:c r="X172" s="138"/>
      <x:c r="Y172" s="138"/>
      <x:c r="Z172" s="138"/>
    </x:row>
    <x:row r="173">
      <x:c r="A173" s="138"/>
      <x:c r="B173" s="138"/>
      <x:c r="C173" s="138"/>
      <x:c r="D173" s="138"/>
      <x:c r="E173" s="138"/>
      <x:c r="F173" s="138"/>
      <x:c r="G173" s="138"/>
      <x:c r="H173" s="138"/>
      <x:c r="I173" s="138"/>
      <x:c r="J173" s="138"/>
      <x:c r="K173" s="138"/>
      <x:c r="L173" s="138"/>
      <x:c r="M173" s="138"/>
      <x:c r="N173" s="138"/>
      <x:c r="O173" s="138"/>
      <x:c r="P173" s="138"/>
      <x:c r="Q173" s="138"/>
      <x:c r="R173" s="138"/>
      <x:c r="S173" s="138"/>
      <x:c r="T173" s="138"/>
      <x:c r="U173" s="138"/>
      <x:c r="V173" s="138"/>
      <x:c r="W173" s="138"/>
      <x:c r="X173" s="138"/>
      <x:c r="Y173" s="138"/>
      <x:c r="Z173" s="138"/>
    </x:row>
    <x:row r="174">
      <x:c r="A174" s="138"/>
      <x:c r="B174" s="138"/>
      <x:c r="C174" s="138"/>
      <x:c r="D174" s="138"/>
      <x:c r="E174" s="138"/>
      <x:c r="F174" s="138"/>
      <x:c r="G174" s="138"/>
      <x:c r="H174" s="138"/>
      <x:c r="I174" s="138"/>
      <x:c r="J174" s="138"/>
      <x:c r="K174" s="138"/>
      <x:c r="L174" s="138"/>
      <x:c r="M174" s="138"/>
      <x:c r="N174" s="138"/>
      <x:c r="O174" s="138"/>
      <x:c r="P174" s="138"/>
      <x:c r="Q174" s="138"/>
      <x:c r="R174" s="138"/>
      <x:c r="S174" s="138"/>
      <x:c r="T174" s="138"/>
      <x:c r="U174" s="138"/>
      <x:c r="V174" s="138"/>
      <x:c r="W174" s="138"/>
      <x:c r="X174" s="138"/>
      <x:c r="Y174" s="138"/>
      <x:c r="Z174" s="138"/>
    </x:row>
    <x:row r="175">
      <x:c r="A175" s="138"/>
      <x:c r="B175" s="138"/>
      <x:c r="C175" s="138"/>
      <x:c r="D175" s="138"/>
      <x:c r="E175" s="138"/>
      <x:c r="F175" s="138"/>
      <x:c r="G175" s="138"/>
      <x:c r="H175" s="138"/>
      <x:c r="I175" s="138"/>
      <x:c r="J175" s="138"/>
      <x:c r="K175" s="138"/>
      <x:c r="L175" s="138"/>
      <x:c r="M175" s="138"/>
      <x:c r="N175" s="138"/>
      <x:c r="O175" s="138"/>
      <x:c r="P175" s="138"/>
      <x:c r="Q175" s="138"/>
      <x:c r="R175" s="138"/>
      <x:c r="S175" s="138"/>
      <x:c r="T175" s="138"/>
      <x:c r="U175" s="138"/>
      <x:c r="V175" s="138"/>
      <x:c r="W175" s="138"/>
      <x:c r="X175" s="138"/>
      <x:c r="Y175" s="138"/>
      <x:c r="Z175" s="138"/>
    </x:row>
    <x:row r="176">
      <x:c r="A176" s="138"/>
      <x:c r="B176" s="138"/>
      <x:c r="C176" s="138"/>
      <x:c r="D176" s="138"/>
      <x:c r="E176" s="138"/>
      <x:c r="F176" s="138"/>
      <x:c r="G176" s="138"/>
      <x:c r="H176" s="138"/>
      <x:c r="I176" s="138"/>
      <x:c r="J176" s="138"/>
      <x:c r="K176" s="138"/>
      <x:c r="L176" s="138"/>
      <x:c r="M176" s="138"/>
      <x:c r="N176" s="138"/>
      <x:c r="O176" s="138"/>
      <x:c r="P176" s="138"/>
      <x:c r="Q176" s="138"/>
      <x:c r="R176" s="138"/>
      <x:c r="S176" s="138"/>
      <x:c r="T176" s="138"/>
      <x:c r="U176" s="138"/>
      <x:c r="V176" s="138"/>
      <x:c r="W176" s="138"/>
      <x:c r="X176" s="138"/>
      <x:c r="Y176" s="138"/>
      <x:c r="Z176" s="138"/>
    </x:row>
    <x:row r="177">
      <x:c r="A177" s="138"/>
      <x:c r="B177" s="138"/>
      <x:c r="C177" s="138"/>
      <x:c r="D177" s="138"/>
      <x:c r="E177" s="138"/>
      <x:c r="F177" s="138"/>
      <x:c r="G177" s="138"/>
      <x:c r="H177" s="138"/>
      <x:c r="I177" s="138"/>
      <x:c r="J177" s="138"/>
      <x:c r="K177" s="138"/>
      <x:c r="L177" s="138"/>
      <x:c r="M177" s="138"/>
      <x:c r="N177" s="138"/>
      <x:c r="O177" s="138"/>
      <x:c r="P177" s="138"/>
      <x:c r="Q177" s="138"/>
      <x:c r="R177" s="138"/>
      <x:c r="S177" s="138"/>
      <x:c r="T177" s="138"/>
      <x:c r="U177" s="138"/>
      <x:c r="V177" s="138"/>
      <x:c r="W177" s="138"/>
      <x:c r="X177" s="138"/>
      <x:c r="Y177" s="138"/>
      <x:c r="Z177" s="138"/>
    </x:row>
    <x:row r="178">
      <x:c r="A178" s="138"/>
      <x:c r="B178" s="138"/>
      <x:c r="C178" s="138"/>
      <x:c r="D178" s="138"/>
      <x:c r="E178" s="138"/>
      <x:c r="F178" s="138"/>
      <x:c r="G178" s="138"/>
      <x:c r="H178" s="138"/>
      <x:c r="I178" s="138"/>
      <x:c r="J178" s="138"/>
      <x:c r="K178" s="138"/>
      <x:c r="L178" s="138"/>
      <x:c r="M178" s="138"/>
      <x:c r="N178" s="138"/>
      <x:c r="O178" s="138"/>
      <x:c r="P178" s="138"/>
      <x:c r="Q178" s="138"/>
      <x:c r="R178" s="138"/>
      <x:c r="S178" s="138"/>
      <x:c r="T178" s="138"/>
      <x:c r="U178" s="138"/>
      <x:c r="V178" s="138"/>
      <x:c r="W178" s="138"/>
      <x:c r="X178" s="138"/>
      <x:c r="Y178" s="138"/>
      <x:c r="Z178" s="138"/>
    </x:row>
    <x:row r="179">
      <x:c r="A179" s="138"/>
      <x:c r="B179" s="138"/>
      <x:c r="C179" s="138"/>
      <x:c r="D179" s="138"/>
      <x:c r="E179" s="138"/>
      <x:c r="F179" s="138"/>
      <x:c r="G179" s="138"/>
      <x:c r="H179" s="138"/>
      <x:c r="I179" s="138"/>
      <x:c r="J179" s="138"/>
      <x:c r="K179" s="138"/>
      <x:c r="L179" s="138"/>
      <x:c r="M179" s="138"/>
      <x:c r="N179" s="138"/>
      <x:c r="O179" s="138"/>
      <x:c r="P179" s="138"/>
      <x:c r="Q179" s="138"/>
      <x:c r="R179" s="138"/>
      <x:c r="S179" s="138"/>
      <x:c r="T179" s="138"/>
      <x:c r="U179" s="138"/>
      <x:c r="V179" s="138"/>
      <x:c r="W179" s="138"/>
      <x:c r="X179" s="138"/>
      <x:c r="Y179" s="138"/>
      <x:c r="Z179" s="138"/>
    </x:row>
    <x:row r="180">
      <x:c r="A180" s="138"/>
      <x:c r="B180" s="138"/>
      <x:c r="C180" s="138"/>
      <x:c r="D180" s="138"/>
      <x:c r="E180" s="138"/>
      <x:c r="F180" s="138"/>
      <x:c r="G180" s="138"/>
      <x:c r="H180" s="138"/>
      <x:c r="I180" s="138"/>
      <x:c r="J180" s="138"/>
      <x:c r="K180" s="138"/>
      <x:c r="L180" s="138"/>
      <x:c r="M180" s="138"/>
      <x:c r="N180" s="138"/>
      <x:c r="O180" s="138"/>
      <x:c r="P180" s="138"/>
      <x:c r="Q180" s="138"/>
      <x:c r="R180" s="138"/>
      <x:c r="S180" s="138"/>
      <x:c r="T180" s="138"/>
      <x:c r="U180" s="138"/>
      <x:c r="V180" s="138"/>
      <x:c r="W180" s="138"/>
      <x:c r="X180" s="138"/>
      <x:c r="Y180" s="138"/>
      <x:c r="Z180" s="138"/>
    </x:row>
    <x:row r="181">
      <x:c r="A181" s="138"/>
      <x:c r="B181" s="138"/>
      <x:c r="C181" s="138"/>
      <x:c r="D181" s="138"/>
      <x:c r="E181" s="138"/>
      <x:c r="F181" s="138"/>
      <x:c r="G181" s="138"/>
      <x:c r="H181" s="138"/>
      <x:c r="I181" s="138"/>
      <x:c r="J181" s="138"/>
      <x:c r="K181" s="138"/>
      <x:c r="L181" s="138"/>
      <x:c r="M181" s="138"/>
      <x:c r="N181" s="138"/>
      <x:c r="O181" s="138"/>
      <x:c r="P181" s="138"/>
      <x:c r="Q181" s="138"/>
      <x:c r="R181" s="138"/>
      <x:c r="S181" s="138"/>
      <x:c r="T181" s="138"/>
      <x:c r="U181" s="138"/>
      <x:c r="V181" s="138"/>
      <x:c r="W181" s="138"/>
      <x:c r="X181" s="138"/>
      <x:c r="Y181" s="138"/>
      <x:c r="Z181" s="138"/>
    </x:row>
    <x:row r="182">
      <x:c r="A182" s="138"/>
      <x:c r="B182" s="138"/>
      <x:c r="C182" s="138"/>
      <x:c r="D182" s="138"/>
      <x:c r="E182" s="138"/>
      <x:c r="F182" s="138"/>
      <x:c r="G182" s="138"/>
      <x:c r="H182" s="138"/>
      <x:c r="I182" s="138"/>
      <x:c r="J182" s="138"/>
      <x:c r="K182" s="138"/>
      <x:c r="L182" s="138"/>
      <x:c r="M182" s="138"/>
      <x:c r="N182" s="138"/>
      <x:c r="O182" s="138"/>
      <x:c r="P182" s="138"/>
      <x:c r="Q182" s="138"/>
      <x:c r="R182" s="138"/>
      <x:c r="S182" s="138"/>
      <x:c r="T182" s="138"/>
      <x:c r="U182" s="138"/>
      <x:c r="V182" s="138"/>
      <x:c r="W182" s="138"/>
      <x:c r="X182" s="138"/>
      <x:c r="Y182" s="138"/>
      <x:c r="Z182" s="138"/>
    </x:row>
    <x:row r="183">
      <x:c r="A183" s="138"/>
      <x:c r="B183" s="138"/>
      <x:c r="C183" s="138"/>
      <x:c r="D183" s="138"/>
      <x:c r="E183" s="138"/>
      <x:c r="F183" s="138"/>
      <x:c r="G183" s="138"/>
      <x:c r="H183" s="138"/>
      <x:c r="I183" s="138"/>
      <x:c r="J183" s="138"/>
      <x:c r="K183" s="138"/>
      <x:c r="L183" s="138"/>
      <x:c r="M183" s="138"/>
      <x:c r="N183" s="138"/>
      <x:c r="O183" s="138"/>
      <x:c r="P183" s="138"/>
      <x:c r="Q183" s="138"/>
      <x:c r="R183" s="138"/>
      <x:c r="S183" s="138"/>
      <x:c r="T183" s="138"/>
      <x:c r="U183" s="138"/>
      <x:c r="V183" s="138"/>
      <x:c r="W183" s="138"/>
      <x:c r="X183" s="138"/>
      <x:c r="Y183" s="138"/>
      <x:c r="Z183" s="138"/>
    </x:row>
    <x:row r="184">
      <x:c r="A184" s="138"/>
      <x:c r="B184" s="138"/>
      <x:c r="C184" s="138"/>
      <x:c r="D184" s="138"/>
      <x:c r="E184" s="138"/>
      <x:c r="F184" s="138"/>
      <x:c r="G184" s="138"/>
      <x:c r="H184" s="138"/>
      <x:c r="I184" s="138"/>
      <x:c r="J184" s="138"/>
      <x:c r="K184" s="138"/>
      <x:c r="L184" s="138"/>
      <x:c r="M184" s="138"/>
      <x:c r="N184" s="138"/>
      <x:c r="O184" s="138"/>
      <x:c r="P184" s="138"/>
      <x:c r="Q184" s="138"/>
      <x:c r="R184" s="138"/>
      <x:c r="S184" s="138"/>
      <x:c r="T184" s="138"/>
      <x:c r="U184" s="138"/>
      <x:c r="V184" s="138"/>
      <x:c r="W184" s="138"/>
      <x:c r="X184" s="138"/>
      <x:c r="Y184" s="138"/>
      <x:c r="Z184" s="138"/>
    </x:row>
    <x:row r="185">
      <x:c r="A185" s="138"/>
      <x:c r="B185" s="138"/>
      <x:c r="C185" s="138"/>
      <x:c r="D185" s="138"/>
      <x:c r="E185" s="138"/>
      <x:c r="F185" s="138"/>
      <x:c r="G185" s="138"/>
      <x:c r="H185" s="138"/>
      <x:c r="I185" s="138"/>
      <x:c r="J185" s="138"/>
      <x:c r="K185" s="138"/>
      <x:c r="L185" s="138"/>
      <x:c r="M185" s="138"/>
      <x:c r="N185" s="138"/>
      <x:c r="O185" s="138"/>
      <x:c r="P185" s="138"/>
      <x:c r="Q185" s="138"/>
      <x:c r="R185" s="138"/>
      <x:c r="S185" s="138"/>
      <x:c r="T185" s="138"/>
      <x:c r="U185" s="138"/>
      <x:c r="V185" s="138"/>
      <x:c r="W185" s="138"/>
      <x:c r="X185" s="138"/>
      <x:c r="Y185" s="138"/>
      <x:c r="Z185" s="138"/>
    </x:row>
    <x:row r="186">
      <x:c r="A186" s="138"/>
      <x:c r="B186" s="138"/>
      <x:c r="C186" s="138"/>
      <x:c r="D186" s="138"/>
      <x:c r="E186" s="138"/>
      <x:c r="F186" s="138"/>
      <x:c r="G186" s="138"/>
      <x:c r="H186" s="138"/>
      <x:c r="I186" s="138"/>
      <x:c r="J186" s="138"/>
      <x:c r="K186" s="138"/>
      <x:c r="L186" s="138"/>
      <x:c r="M186" s="138"/>
      <x:c r="N186" s="138"/>
      <x:c r="O186" s="138"/>
      <x:c r="P186" s="138"/>
      <x:c r="Q186" s="138"/>
      <x:c r="R186" s="138"/>
      <x:c r="S186" s="138"/>
      <x:c r="T186" s="138"/>
      <x:c r="U186" s="138"/>
      <x:c r="V186" s="138"/>
      <x:c r="W186" s="138"/>
      <x:c r="X186" s="138"/>
      <x:c r="Y186" s="138"/>
      <x:c r="Z186" s="138"/>
    </x:row>
    <x:row r="187">
      <x:c r="A187" s="138"/>
      <x:c r="B187" s="138"/>
      <x:c r="C187" s="138"/>
      <x:c r="D187" s="138"/>
      <x:c r="E187" s="138"/>
      <x:c r="F187" s="138"/>
      <x:c r="G187" s="138"/>
      <x:c r="H187" s="138"/>
      <x:c r="I187" s="138"/>
      <x:c r="J187" s="138"/>
      <x:c r="K187" s="138"/>
      <x:c r="L187" s="138"/>
      <x:c r="M187" s="138"/>
      <x:c r="N187" s="138"/>
      <x:c r="O187" s="138"/>
      <x:c r="P187" s="138"/>
      <x:c r="Q187" s="138"/>
      <x:c r="R187" s="138"/>
      <x:c r="S187" s="138"/>
      <x:c r="T187" s="138"/>
      <x:c r="U187" s="138"/>
      <x:c r="V187" s="138"/>
      <x:c r="W187" s="138"/>
      <x:c r="X187" s="138"/>
      <x:c r="Y187" s="138"/>
      <x:c r="Z187" s="138"/>
    </x:row>
    <x:row r="188">
      <x:c r="A188" s="138"/>
      <x:c r="B188" s="138"/>
      <x:c r="C188" s="138"/>
      <x:c r="D188" s="138"/>
      <x:c r="E188" s="138"/>
      <x:c r="F188" s="138"/>
      <x:c r="G188" s="138"/>
      <x:c r="H188" s="138"/>
      <x:c r="I188" s="138"/>
      <x:c r="J188" s="138"/>
      <x:c r="K188" s="138"/>
      <x:c r="L188" s="138"/>
      <x:c r="M188" s="138"/>
      <x:c r="N188" s="138"/>
      <x:c r="O188" s="138"/>
      <x:c r="P188" s="138"/>
      <x:c r="Q188" s="138"/>
      <x:c r="R188" s="138"/>
      <x:c r="S188" s="138"/>
      <x:c r="T188" s="138"/>
      <x:c r="U188" s="138"/>
      <x:c r="V188" s="138"/>
      <x:c r="W188" s="138"/>
      <x:c r="X188" s="138"/>
      <x:c r="Y188" s="138"/>
      <x:c r="Z188" s="138"/>
    </x:row>
    <x:row r="189">
      <x:c r="A189" s="138"/>
      <x:c r="B189" s="138"/>
      <x:c r="C189" s="138"/>
      <x:c r="D189" s="138"/>
      <x:c r="E189" s="138"/>
      <x:c r="F189" s="138"/>
      <x:c r="G189" s="138"/>
      <x:c r="H189" s="138"/>
      <x:c r="I189" s="138"/>
      <x:c r="J189" s="138"/>
      <x:c r="K189" s="138"/>
      <x:c r="L189" s="138"/>
      <x:c r="M189" s="138"/>
      <x:c r="N189" s="138"/>
      <x:c r="O189" s="138"/>
      <x:c r="P189" s="138"/>
      <x:c r="Q189" s="138"/>
      <x:c r="R189" s="138"/>
      <x:c r="S189" s="138"/>
      <x:c r="T189" s="138"/>
      <x:c r="U189" s="138"/>
      <x:c r="V189" s="138"/>
      <x:c r="W189" s="138"/>
      <x:c r="X189" s="138"/>
      <x:c r="Y189" s="138"/>
      <x:c r="Z189" s="138"/>
    </x:row>
    <x:row r="190">
      <x:c r="A190" s="138"/>
      <x:c r="B190" s="138"/>
      <x:c r="C190" s="138"/>
      <x:c r="D190" s="138"/>
      <x:c r="E190" s="138"/>
      <x:c r="F190" s="138"/>
      <x:c r="G190" s="138"/>
      <x:c r="H190" s="138"/>
      <x:c r="I190" s="138"/>
      <x:c r="J190" s="138"/>
      <x:c r="K190" s="138"/>
      <x:c r="L190" s="138"/>
      <x:c r="M190" s="138"/>
      <x:c r="N190" s="138"/>
      <x:c r="O190" s="138"/>
      <x:c r="P190" s="138"/>
      <x:c r="Q190" s="138"/>
      <x:c r="R190" s="138"/>
      <x:c r="S190" s="138"/>
      <x:c r="T190" s="138"/>
      <x:c r="U190" s="138"/>
      <x:c r="V190" s="138"/>
      <x:c r="W190" s="138"/>
      <x:c r="X190" s="138"/>
      <x:c r="Y190" s="138"/>
      <x:c r="Z190" s="138"/>
    </x:row>
    <x:row r="191">
      <x:c r="A191" s="138"/>
      <x:c r="B191" s="138"/>
      <x:c r="C191" s="138"/>
      <x:c r="D191" s="138"/>
      <x:c r="E191" s="138"/>
      <x:c r="F191" s="138"/>
      <x:c r="G191" s="138"/>
      <x:c r="H191" s="138"/>
      <x:c r="I191" s="138"/>
      <x:c r="J191" s="138"/>
      <x:c r="K191" s="138"/>
      <x:c r="L191" s="138"/>
      <x:c r="M191" s="138"/>
      <x:c r="N191" s="138"/>
      <x:c r="O191" s="138"/>
      <x:c r="P191" s="138"/>
      <x:c r="Q191" s="138"/>
      <x:c r="R191" s="138"/>
      <x:c r="S191" s="138"/>
      <x:c r="T191" s="138"/>
      <x:c r="U191" s="138"/>
      <x:c r="V191" s="138"/>
      <x:c r="W191" s="138"/>
      <x:c r="X191" s="138"/>
      <x:c r="Y191" s="138"/>
      <x:c r="Z191" s="138"/>
    </x:row>
    <x:row r="192">
      <x:c r="A192" s="138"/>
      <x:c r="B192" s="138"/>
      <x:c r="C192" s="138"/>
      <x:c r="D192" s="138"/>
      <x:c r="E192" s="138"/>
      <x:c r="F192" s="138"/>
      <x:c r="G192" s="138"/>
      <x:c r="H192" s="138"/>
      <x:c r="I192" s="138"/>
      <x:c r="J192" s="138"/>
      <x:c r="K192" s="138"/>
      <x:c r="L192" s="138"/>
      <x:c r="M192" s="138"/>
      <x:c r="N192" s="138"/>
      <x:c r="O192" s="138"/>
      <x:c r="P192" s="138"/>
      <x:c r="Q192" s="138"/>
      <x:c r="R192" s="138"/>
      <x:c r="S192" s="138"/>
      <x:c r="T192" s="138"/>
      <x:c r="U192" s="138"/>
      <x:c r="V192" s="138"/>
      <x:c r="W192" s="138"/>
      <x:c r="X192" s="138"/>
      <x:c r="Y192" s="138"/>
      <x:c r="Z192" s="138"/>
    </x:row>
    <x:row r="193">
      <x:c r="A193" s="138"/>
      <x:c r="B193" s="138"/>
      <x:c r="C193" s="138"/>
      <x:c r="D193" s="138"/>
      <x:c r="E193" s="138"/>
      <x:c r="F193" s="138"/>
      <x:c r="G193" s="138"/>
      <x:c r="H193" s="138"/>
      <x:c r="I193" s="138"/>
      <x:c r="J193" s="138"/>
      <x:c r="K193" s="138"/>
      <x:c r="L193" s="138"/>
      <x:c r="M193" s="138"/>
      <x:c r="N193" s="138"/>
      <x:c r="O193" s="138"/>
      <x:c r="P193" s="138"/>
      <x:c r="Q193" s="138"/>
      <x:c r="R193" s="138"/>
      <x:c r="S193" s="138"/>
      <x:c r="T193" s="138"/>
      <x:c r="U193" s="138"/>
      <x:c r="V193" s="138"/>
      <x:c r="W193" s="138"/>
      <x:c r="X193" s="138"/>
      <x:c r="Y193" s="138"/>
      <x:c r="Z193" s="138"/>
    </x:row>
    <x:row r="194">
      <x:c r="A194" s="138"/>
      <x:c r="B194" s="138"/>
      <x:c r="C194" s="138"/>
      <x:c r="D194" s="138"/>
      <x:c r="E194" s="138"/>
      <x:c r="F194" s="138"/>
      <x:c r="G194" s="138"/>
      <x:c r="H194" s="138"/>
      <x:c r="I194" s="138"/>
      <x:c r="J194" s="138"/>
      <x:c r="K194" s="138"/>
      <x:c r="L194" s="138"/>
      <x:c r="M194" s="138"/>
      <x:c r="N194" s="138"/>
      <x:c r="O194" s="138"/>
      <x:c r="P194" s="138"/>
      <x:c r="Q194" s="138"/>
      <x:c r="R194" s="138"/>
      <x:c r="S194" s="138"/>
      <x:c r="T194" s="138"/>
      <x:c r="U194" s="138"/>
      <x:c r="V194" s="138"/>
      <x:c r="W194" s="138"/>
      <x:c r="X194" s="138"/>
      <x:c r="Y194" s="138"/>
      <x:c r="Z194" s="138"/>
    </x:row>
    <x:row r="195">
      <x:c r="A195" s="138"/>
      <x:c r="B195" s="138"/>
      <x:c r="C195" s="138"/>
      <x:c r="D195" s="138"/>
      <x:c r="E195" s="138"/>
      <x:c r="F195" s="138"/>
      <x:c r="G195" s="138"/>
      <x:c r="H195" s="138"/>
      <x:c r="I195" s="138"/>
      <x:c r="J195" s="138"/>
      <x:c r="K195" s="138"/>
      <x:c r="L195" s="138"/>
      <x:c r="M195" s="138"/>
      <x:c r="N195" s="138"/>
      <x:c r="O195" s="138"/>
      <x:c r="P195" s="138"/>
      <x:c r="Q195" s="138"/>
      <x:c r="R195" s="138"/>
      <x:c r="S195" s="138"/>
      <x:c r="T195" s="138"/>
      <x:c r="U195" s="138"/>
      <x:c r="V195" s="138"/>
      <x:c r="W195" s="138"/>
      <x:c r="X195" s="138"/>
      <x:c r="Y195" s="138"/>
      <x:c r="Z195" s="138"/>
    </x:row>
    <x:row r="196">
      <x:c r="A196" s="138"/>
      <x:c r="B196" s="138"/>
      <x:c r="C196" s="138"/>
      <x:c r="D196" s="138"/>
      <x:c r="E196" s="138"/>
      <x:c r="F196" s="138"/>
      <x:c r="G196" s="138"/>
      <x:c r="H196" s="138"/>
      <x:c r="I196" s="138"/>
      <x:c r="J196" s="138"/>
      <x:c r="K196" s="138"/>
      <x:c r="L196" s="138"/>
      <x:c r="M196" s="138"/>
      <x:c r="N196" s="138"/>
      <x:c r="O196" s="138"/>
      <x:c r="P196" s="138"/>
      <x:c r="Q196" s="138"/>
      <x:c r="R196" s="138"/>
      <x:c r="S196" s="138"/>
      <x:c r="T196" s="138"/>
      <x:c r="U196" s="138"/>
      <x:c r="V196" s="138"/>
      <x:c r="W196" s="138"/>
      <x:c r="X196" s="138"/>
      <x:c r="Y196" s="138"/>
      <x:c r="Z196" s="138"/>
    </x:row>
    <x:row r="197">
      <x:c r="A197" s="138"/>
      <x:c r="B197" s="138"/>
      <x:c r="C197" s="138"/>
      <x:c r="D197" s="138"/>
      <x:c r="E197" s="138"/>
      <x:c r="F197" s="138"/>
      <x:c r="G197" s="138"/>
      <x:c r="H197" s="138"/>
      <x:c r="I197" s="138"/>
      <x:c r="J197" s="138"/>
      <x:c r="K197" s="138"/>
      <x:c r="L197" s="138"/>
      <x:c r="M197" s="138"/>
      <x:c r="N197" s="138"/>
      <x:c r="O197" s="138"/>
      <x:c r="P197" s="138"/>
      <x:c r="Q197" s="138"/>
      <x:c r="R197" s="138"/>
      <x:c r="S197" s="138"/>
      <x:c r="T197" s="138"/>
      <x:c r="U197" s="138"/>
      <x:c r="V197" s="138"/>
      <x:c r="W197" s="138"/>
      <x:c r="X197" s="138"/>
      <x:c r="Y197" s="138"/>
      <x:c r="Z197" s="138"/>
    </x:row>
    <x:row r="198">
      <x:c r="A198" s="138"/>
      <x:c r="B198" s="138"/>
      <x:c r="C198" s="138"/>
      <x:c r="D198" s="138"/>
      <x:c r="E198" s="138"/>
      <x:c r="F198" s="138"/>
      <x:c r="G198" s="138"/>
      <x:c r="H198" s="138"/>
      <x:c r="I198" s="138"/>
      <x:c r="J198" s="138"/>
      <x:c r="K198" s="138"/>
      <x:c r="L198" s="138"/>
      <x:c r="M198" s="138"/>
      <x:c r="N198" s="138"/>
      <x:c r="O198" s="138"/>
      <x:c r="P198" s="138"/>
      <x:c r="Q198" s="138"/>
      <x:c r="R198" s="138"/>
      <x:c r="S198" s="138"/>
      <x:c r="T198" s="138"/>
      <x:c r="U198" s="138"/>
      <x:c r="V198" s="138"/>
      <x:c r="W198" s="138"/>
      <x:c r="X198" s="138"/>
      <x:c r="Y198" s="138"/>
      <x:c r="Z198" s="138"/>
    </x:row>
    <x:row r="199">
      <x:c r="A199" s="138"/>
      <x:c r="B199" s="138"/>
      <x:c r="C199" s="138"/>
      <x:c r="D199" s="138"/>
      <x:c r="E199" s="138"/>
      <x:c r="F199" s="138"/>
      <x:c r="G199" s="138"/>
      <x:c r="H199" s="138"/>
      <x:c r="I199" s="138"/>
      <x:c r="J199" s="138"/>
      <x:c r="K199" s="138"/>
      <x:c r="L199" s="138"/>
      <x:c r="M199" s="138"/>
      <x:c r="N199" s="138"/>
      <x:c r="O199" s="138"/>
      <x:c r="P199" s="138"/>
      <x:c r="Q199" s="138"/>
      <x:c r="R199" s="138"/>
      <x:c r="S199" s="138"/>
      <x:c r="T199" s="138"/>
      <x:c r="U199" s="138"/>
      <x:c r="V199" s="138"/>
      <x:c r="W199" s="138"/>
      <x:c r="X199" s="138"/>
      <x:c r="Y199" s="138"/>
      <x:c r="Z199" s="138"/>
    </x:row>
    <x:row r="200">
      <x:c r="A200" s="138"/>
      <x:c r="B200" s="138"/>
      <x:c r="C200" s="138"/>
      <x:c r="D200" s="138"/>
      <x:c r="E200" s="138"/>
      <x:c r="F200" s="138"/>
      <x:c r="G200" s="138"/>
      <x:c r="H200" s="138"/>
      <x:c r="I200" s="138"/>
      <x:c r="J200" s="138"/>
      <x:c r="K200" s="138"/>
      <x:c r="L200" s="138"/>
      <x:c r="M200" s="138"/>
      <x:c r="N200" s="138"/>
      <x:c r="O200" s="138"/>
      <x:c r="P200" s="138"/>
      <x:c r="Q200" s="138"/>
      <x:c r="R200" s="138"/>
      <x:c r="S200" s="138"/>
      <x:c r="T200" s="138"/>
      <x:c r="U200" s="138"/>
      <x:c r="V200" s="138"/>
      <x:c r="W200" s="138"/>
      <x:c r="X200" s="138"/>
      <x:c r="Y200" s="138"/>
      <x:c r="Z200" s="138"/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3" hidden="0" customWidth="1"/>
    <x:col min="8" max="8" width="3" hidden="0" customWidth="1"/>
    <x:col min="9" max="9" width="3" hidden="0" customWidth="1"/>
  </x:cols>
  <x:sheetData>
    <x:row r="1" ht="32" customHeight="1">
      <x:c r="A1" s="137" t="str">
        <x:v>Profitability Sensitivity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  <x:c r="V1" s="138"/>
      <x:c r="W1" s="138"/>
      <x:c r="X1" s="138"/>
      <x:c r="Y1" s="138"/>
      <x:c r="Z1" s="138"/>
    </x:row>
    <x:row r="2" ht="30" customHeight="1">
      <x:c r="A2" s="139" t="str">
        <x:v>Shows how plan margin moves with credit utilization and monitored-universe size. Results include provisional non-provider allowances of $18 Starter and $41 Growth; these are editable, unsourced planning placeholders in Assumptions.</x:v>
      </x:c>
      <x:c r="B2" s="138"/>
      <x:c r="C2" s="138"/>
      <x:c r="D2" s="138"/>
      <x:c r="E2" s="138"/>
      <x:c r="F2" s="138"/>
      <x:c r="G2" s="138"/>
      <x:c r="H2" s="138"/>
      <x:c r="I2" s="138"/>
      <x:c r="J2" s="138"/>
      <x:c r="K2" s="138"/>
      <x:c r="L2" s="138"/>
      <x:c r="M2" s="138"/>
      <x:c r="N2" s="138"/>
      <x:c r="O2" s="138"/>
      <x:c r="P2" s="138"/>
      <x:c r="Q2" s="138"/>
      <x:c r="R2" s="138"/>
      <x:c r="S2" s="138"/>
      <x:c r="T2" s="138"/>
      <x:c r="U2" s="138"/>
      <x:c r="V2" s="138"/>
      <x:c r="W2" s="138"/>
      <x:c r="X2" s="138"/>
      <x:c r="Y2" s="138"/>
      <x:c r="Z2" s="138"/>
    </x:row>
    <x:row r="3">
      <x:c r="A3" s="138"/>
      <x:c r="B3" s="138"/>
      <x:c r="C3" s="138"/>
      <x:c r="D3" s="138"/>
      <x:c r="E3" s="138"/>
      <x:c r="F3" s="138"/>
      <x:c r="G3" s="138"/>
      <x:c r="H3" s="138"/>
      <x:c r="I3" s="138"/>
      <x:c r="J3" s="138"/>
      <x:c r="K3" s="138"/>
      <x:c r="L3" s="138"/>
      <x:c r="M3" s="138"/>
      <x:c r="N3" s="138"/>
      <x:c r="O3" s="138"/>
      <x:c r="P3" s="138"/>
      <x:c r="Q3" s="138"/>
      <x:c r="R3" s="138"/>
      <x:c r="S3" s="138"/>
      <x:c r="T3" s="138"/>
      <x:c r="U3" s="138"/>
      <x:c r="V3" s="138"/>
      <x:c r="W3" s="138"/>
      <x:c r="X3" s="138"/>
      <x:c r="Y3" s="138"/>
      <x:c r="Z3" s="138"/>
    </x:row>
    <x:row r="4" ht="22" customHeight="1">
      <x:c r="A4" s="140" t="str">
        <x:v>Starter margin sensitivity</x:v>
      </x:c>
      <x:c r="B4" s="138"/>
      <x:c r="C4" s="138"/>
      <x:c r="D4" s="138"/>
      <x:c r="E4" s="138"/>
      <x:c r="F4" s="138"/>
      <x:c r="G4" s="138"/>
      <x:c r="H4" s="138"/>
      <x:c r="I4" s="138"/>
      <x:c r="J4" s="138"/>
      <x:c r="K4" s="138"/>
      <x:c r="L4" s="138"/>
      <x:c r="M4" s="138"/>
      <x:c r="N4" s="138"/>
      <x:c r="O4" s="138"/>
      <x:c r="P4" s="138"/>
      <x:c r="Q4" s="138"/>
      <x:c r="R4" s="138"/>
      <x:c r="S4" s="138"/>
      <x:c r="T4" s="138"/>
      <x:c r="U4" s="138"/>
      <x:c r="V4" s="138"/>
      <x:c r="W4" s="138"/>
      <x:c r="X4" s="138"/>
      <x:c r="Y4" s="138"/>
      <x:c r="Z4" s="138"/>
    </x:row>
    <x:row r="5">
      <x:c r="A5" s="141" t="str">
        <x:v>Credit utilization</x:v>
      </x:c>
      <x:c r="B5" s="204" t="n">
        <x:v>1000</x:v>
      </x:c>
      <x:c r="C5" s="204" t="n">
        <x:v>2500</x:v>
      </x:c>
      <x:c r="D5" s="204" t="n">
        <x:v>5000</x:v>
      </x:c>
      <x:c r="E5" s="204" t="n">
        <x:v>7500</x:v>
      </x:c>
      <x:c r="F5" s="205" t="n">
        <x:v>10000</x:v>
      </x:c>
      <x:c r="G5" s="138"/>
      <x:c r="H5" s="138"/>
      <x:c r="I5" s="138"/>
      <x:c r="J5" s="138"/>
      <x:c r="K5" s="138"/>
      <x:c r="L5" s="138"/>
      <x:c r="M5" s="138"/>
      <x:c r="N5" s="138"/>
      <x:c r="O5" s="138"/>
      <x:c r="P5" s="138"/>
      <x:c r="Q5" s="138"/>
      <x:c r="R5" s="138"/>
      <x:c r="S5" s="138"/>
      <x:c r="T5" s="138"/>
      <x:c r="U5" s="138"/>
      <x:c r="V5" s="138"/>
      <x:c r="W5" s="138"/>
      <x:c r="X5" s="138"/>
      <x:c r="Y5" s="138"/>
      <x:c r="Z5" s="138"/>
    </x:row>
    <x:row r="6">
      <x:c r="A6" s="206" t="n">
        <x:v>0.25</x:v>
      </x:c>
      <x:c r="B6" s="197" t="n">
        <x:f>(149-(2000*$A6*Assumptions!B6+B$5*Assumptions!C16+B$5*Assumptions!B27*'Action Credits'!D17+Assumptions!B39))/149</x:f>
        <x:v>0.8166107382550335</x:v>
      </x:c>
      <x:c r="C6" s="197" t="n">
        <x:f>(149-(2000*$A6*Assumptions!B6+C$5*Assumptions!C16+C$5*Assumptions!B27*'Action Credits'!D17+Assumptions!B39))/149</x:f>
        <x:v>0.7730704697986577</x:v>
      </x:c>
      <x:c r="D6" s="197" t="n">
        <x:f>(149-(2000*$A6*Assumptions!B6+D$5*Assumptions!C16+D$5*Assumptions!B27*'Action Credits'!D17+Assumptions!B39))/149</x:f>
        <x:v>0.700503355704698</x:v>
      </x:c>
      <x:c r="E6" s="197" t="n">
        <x:f>(149-(2000*$A6*Assumptions!B6+E$5*Assumptions!C16+E$5*Assumptions!B27*'Action Credits'!D17+Assumptions!B39))/149</x:f>
        <x:v>0.6279362416107382</x:v>
      </x:c>
      <x:c r="F6" s="178" t="n">
        <x:f>(149-(2000*$A6*Assumptions!B6+F$5*Assumptions!C16+F$5*Assumptions!B27*'Action Credits'!D17+Assumptions!B39))/149</x:f>
        <x:v>0.5553691275167785</x:v>
      </x:c>
      <x:c r="G6" s="138"/>
      <x:c r="H6" s="138"/>
      <x:c r="I6" s="138"/>
      <x:c r="J6" s="138"/>
      <x:c r="K6" s="138"/>
      <x:c r="L6" s="138"/>
      <x:c r="M6" s="138"/>
      <x:c r="N6" s="138"/>
      <x:c r="O6" s="138"/>
      <x:c r="P6" s="138"/>
      <x:c r="Q6" s="138"/>
      <x:c r="R6" s="138"/>
      <x:c r="S6" s="138"/>
      <x:c r="T6" s="138"/>
      <x:c r="U6" s="138"/>
      <x:c r="V6" s="138"/>
      <x:c r="W6" s="138"/>
      <x:c r="X6" s="138"/>
      <x:c r="Y6" s="138"/>
      <x:c r="Z6" s="138"/>
    </x:row>
    <x:row r="7">
      <x:c r="A7" s="207" t="n">
        <x:v>0.5</x:v>
      </x:c>
      <x:c r="B7" s="199" t="n">
        <x:f>(149-(2000*$A7*Assumptions!B6+B$5*Assumptions!C16+B$5*Assumptions!B27*'Action Credits'!D17+Assumptions!B39))/149</x:f>
        <x:v>0.7830536912751678</x:v>
      </x:c>
      <x:c r="C7" s="199" t="n">
        <x:f>(149-(2000*$A7*Assumptions!B6+C$5*Assumptions!C16+C$5*Assumptions!B27*'Action Credits'!D17+Assumptions!B39))/149</x:f>
        <x:v>0.739513422818792</x:v>
      </x:c>
      <x:c r="D7" s="199" t="n">
        <x:f>(149-(2000*$A7*Assumptions!B6+D$5*Assumptions!C16+D$5*Assumptions!B27*'Action Credits'!D17+Assumptions!B39))/149</x:f>
        <x:v>0.6669463087248322</x:v>
      </x:c>
      <x:c r="E7" s="199" t="n">
        <x:f>(149-(2000*$A7*Assumptions!B6+E$5*Assumptions!C16+E$5*Assumptions!B27*'Action Credits'!D17+Assumptions!B39))/149</x:f>
        <x:v>0.5943791946308725</x:v>
      </x:c>
      <x:c r="F7" s="183" t="n">
        <x:f>(149-(2000*$A7*Assumptions!B6+F$5*Assumptions!C16+F$5*Assumptions!B27*'Action Credits'!D17+Assumptions!B39))/149</x:f>
        <x:v>0.5218120805369127</x:v>
      </x:c>
      <x:c r="G7" s="138"/>
      <x:c r="H7" s="138"/>
      <x:c r="I7" s="138"/>
      <x:c r="J7" s="138"/>
      <x:c r="K7" s="138"/>
      <x:c r="L7" s="138"/>
      <x:c r="M7" s="138"/>
      <x:c r="N7" s="138"/>
      <x:c r="O7" s="138"/>
      <x:c r="P7" s="138"/>
      <x:c r="Q7" s="138"/>
      <x:c r="R7" s="138"/>
      <x:c r="S7" s="138"/>
      <x:c r="T7" s="138"/>
      <x:c r="U7" s="138"/>
      <x:c r="V7" s="138"/>
      <x:c r="W7" s="138"/>
      <x:c r="X7" s="138"/>
      <x:c r="Y7" s="138"/>
      <x:c r="Z7" s="138"/>
    </x:row>
    <x:row r="8">
      <x:c r="A8" s="207" t="n">
        <x:v>0.75</x:v>
      </x:c>
      <x:c r="B8" s="199" t="n">
        <x:f>(149-(2000*$A8*Assumptions!B6+B$5*Assumptions!C16+B$5*Assumptions!B27*'Action Credits'!D17+Assumptions!B39))/149</x:f>
        <x:v>0.7494966442953019</x:v>
      </x:c>
      <x:c r="C8" s="199" t="n">
        <x:f>(149-(2000*$A8*Assumptions!B6+C$5*Assumptions!C16+C$5*Assumptions!B27*'Action Credits'!D17+Assumptions!B39))/149</x:f>
        <x:v>0.7059563758389261</x:v>
      </x:c>
      <x:c r="D8" s="199" t="n">
        <x:f>(149-(2000*$A8*Assumptions!B6+D$5*Assumptions!C16+D$5*Assumptions!B27*'Action Credits'!D17+Assumptions!B39))/149</x:f>
        <x:v>0.6333892617449665</x:v>
      </x:c>
      <x:c r="E8" s="199" t="n">
        <x:f>(149-(2000*$A8*Assumptions!B6+E$5*Assumptions!C16+E$5*Assumptions!B27*'Action Credits'!D17+Assumptions!B39))/149</x:f>
        <x:v>0.5608221476510067</x:v>
      </x:c>
      <x:c r="F8" s="183" t="n">
        <x:f>(149-(2000*$A8*Assumptions!B6+F$5*Assumptions!C16+F$5*Assumptions!B27*'Action Credits'!D17+Assumptions!B39))/149</x:f>
        <x:v>0.48825503355704697</x:v>
      </x:c>
      <x:c r="G8" s="138"/>
      <x:c r="H8" s="138"/>
      <x:c r="I8" s="138"/>
      <x:c r="J8" s="138"/>
      <x:c r="K8" s="138"/>
      <x:c r="L8" s="138"/>
      <x:c r="M8" s="138"/>
      <x:c r="N8" s="138"/>
      <x:c r="O8" s="138"/>
      <x:c r="P8" s="138"/>
      <x:c r="Q8" s="138"/>
      <x:c r="R8" s="138"/>
      <x:c r="S8" s="138"/>
      <x:c r="T8" s="138"/>
      <x:c r="U8" s="138"/>
      <x:c r="V8" s="138"/>
      <x:c r="W8" s="138"/>
      <x:c r="X8" s="138"/>
      <x:c r="Y8" s="138"/>
      <x:c r="Z8" s="138"/>
    </x:row>
    <x:row r="9">
      <x:c r="A9" s="207" t="n">
        <x:v>1</x:v>
      </x:c>
      <x:c r="B9" s="199" t="n">
        <x:f>(149-(2000*$A9*Assumptions!B6+B$5*Assumptions!C16+B$5*Assumptions!B27*'Action Credits'!D17+Assumptions!B39))/149</x:f>
        <x:v>0.7159395973154362</x:v>
      </x:c>
      <x:c r="C9" s="199" t="n">
        <x:f>(149-(2000*$A9*Assumptions!B6+C$5*Assumptions!C16+C$5*Assumptions!B27*'Action Credits'!D17+Assumptions!B39))/149</x:f>
        <x:v>0.6723993288590604</x:v>
      </x:c>
      <x:c r="D9" s="199" t="n">
        <x:f>(149-(2000*$A9*Assumptions!B6+D$5*Assumptions!C16+D$5*Assumptions!B27*'Action Credits'!D17+Assumptions!B39))/149</x:f>
        <x:v>0.5998322147651006</x:v>
      </x:c>
      <x:c r="E9" s="199" t="n">
        <x:f>(149-(2000*$A9*Assumptions!B6+E$5*Assumptions!C16+E$5*Assumptions!B27*'Action Credits'!D17+Assumptions!B39))/149</x:f>
        <x:v>0.527265100671141</x:v>
      </x:c>
      <x:c r="F9" s="183" t="n">
        <x:f>(149-(2000*$A9*Assumptions!B6+F$5*Assumptions!C16+F$5*Assumptions!B27*'Action Credits'!D17+Assumptions!B39))/149</x:f>
        <x:v>0.4546979865771812</x:v>
      </x:c>
      <x:c r="G9" s="138"/>
      <x:c r="H9" s="138"/>
      <x:c r="I9" s="138"/>
      <x:c r="J9" s="138"/>
      <x:c r="K9" s="138"/>
      <x:c r="L9" s="138"/>
      <x:c r="M9" s="138"/>
      <x:c r="N9" s="138"/>
      <x:c r="O9" s="138"/>
      <x:c r="P9" s="138"/>
      <x:c r="Q9" s="138"/>
      <x:c r="R9" s="138"/>
      <x:c r="S9" s="138"/>
      <x:c r="T9" s="138"/>
      <x:c r="U9" s="138"/>
      <x:c r="V9" s="138"/>
      <x:c r="W9" s="138"/>
      <x:c r="X9" s="138"/>
      <x:c r="Y9" s="138"/>
      <x:c r="Z9" s="138"/>
    </x:row>
    <x:row r="10">
      <x:c r="A10" s="208" t="n">
        <x:v>1.25</x:v>
      </x:c>
      <x:c r="B10" s="209" t="n">
        <x:f>(149-(2000*$A10*Assumptions!B6+B$5*Assumptions!C16+B$5*Assumptions!B27*'Action Credits'!D17+Assumptions!B39))/149</x:f>
        <x:v>0.6823825503355705</x:v>
      </x:c>
      <x:c r="C10" s="209" t="n">
        <x:f>(149-(2000*$A10*Assumptions!B6+C$5*Assumptions!C16+C$5*Assumptions!B27*'Action Credits'!D17+Assumptions!B39))/149</x:f>
        <x:v>0.6388422818791947</x:v>
      </x:c>
      <x:c r="D10" s="209" t="n">
        <x:f>(149-(2000*$A10*Assumptions!B6+D$5*Assumptions!C16+D$5*Assumptions!B27*'Action Credits'!D17+Assumptions!B39))/149</x:f>
        <x:v>0.5662751677852349</x:v>
      </x:c>
      <x:c r="E10" s="209" t="n">
        <x:f>(149-(2000*$A10*Assumptions!B6+E$5*Assumptions!C16+E$5*Assumptions!B27*'Action Credits'!D17+Assumptions!B39))/149</x:f>
        <x:v>0.4937080536912752</x:v>
      </x:c>
      <x:c r="F10" s="188" t="n">
        <x:f>(149-(2000*$A10*Assumptions!B6+F$5*Assumptions!C16+F$5*Assumptions!B27*'Action Credits'!D17+Assumptions!B39))/149</x:f>
        <x:v>0.4211409395973154</x:v>
      </x:c>
      <x:c r="G10" s="138"/>
      <x:c r="H10" s="138"/>
      <x:c r="I10" s="138"/>
      <x:c r="J10" s="138"/>
      <x:c r="K10" s="138"/>
      <x:c r="L10" s="138"/>
      <x:c r="M10" s="138"/>
      <x:c r="N10" s="138"/>
      <x:c r="O10" s="138"/>
      <x:c r="P10" s="138"/>
      <x:c r="Q10" s="138"/>
      <x:c r="R10" s="138"/>
      <x:c r="S10" s="138"/>
      <x:c r="T10" s="138"/>
      <x:c r="U10" s="138"/>
      <x:c r="V10" s="138"/>
      <x:c r="W10" s="138"/>
      <x:c r="X10" s="138"/>
      <x:c r="Y10" s="138"/>
      <x:c r="Z10" s="138"/>
    </x:row>
    <x:row r="11">
      <x:c r="A11" s="138"/>
      <x:c r="B11" s="138"/>
      <x:c r="C11" s="138"/>
      <x:c r="D11" s="138"/>
      <x:c r="E11" s="138"/>
      <x:c r="F11" s="138"/>
      <x:c r="G11" s="138"/>
      <x:c r="H11" s="138"/>
      <x:c r="I11" s="138"/>
      <x:c r="J11" s="138"/>
      <x:c r="K11" s="138"/>
      <x:c r="L11" s="138"/>
      <x:c r="M11" s="138"/>
      <x:c r="N11" s="138"/>
      <x:c r="O11" s="138"/>
      <x:c r="P11" s="138"/>
      <x:c r="Q11" s="138"/>
      <x:c r="R11" s="138"/>
      <x:c r="S11" s="138"/>
      <x:c r="T11" s="138"/>
      <x:c r="U11" s="138"/>
      <x:c r="V11" s="138"/>
      <x:c r="W11" s="138"/>
      <x:c r="X11" s="138"/>
      <x:c r="Y11" s="138"/>
      <x:c r="Z11" s="138"/>
    </x:row>
    <x:row r="12">
      <x:c r="A12" s="138"/>
      <x:c r="B12" s="138"/>
      <x:c r="C12" s="138"/>
      <x:c r="D12" s="138"/>
      <x:c r="E12" s="138"/>
      <x:c r="F12" s="138"/>
      <x:c r="G12" s="138"/>
      <x:c r="H12" s="138"/>
      <x:c r="I12" s="138"/>
      <x:c r="J12" s="138"/>
      <x:c r="K12" s="138"/>
      <x:c r="L12" s="138"/>
      <x:c r="M12" s="138"/>
      <x:c r="N12" s="138"/>
      <x:c r="O12" s="138"/>
      <x:c r="P12" s="138"/>
      <x:c r="Q12" s="138"/>
      <x:c r="R12" s="138"/>
      <x:c r="S12" s="138"/>
      <x:c r="T12" s="138"/>
      <x:c r="U12" s="138"/>
      <x:c r="V12" s="138"/>
      <x:c r="W12" s="138"/>
      <x:c r="X12" s="138"/>
      <x:c r="Y12" s="138"/>
      <x:c r="Z12" s="138"/>
    </x:row>
    <x:row r="13" ht="22" customHeight="1">
      <x:c r="A13" s="140" t="str">
        <x:v>Growth margin sensitivity</x:v>
      </x:c>
      <x:c r="B13" s="138"/>
      <x:c r="C13" s="138"/>
      <x:c r="D13" s="138"/>
      <x:c r="E13" s="138"/>
      <x:c r="F13" s="138"/>
      <x:c r="G13" s="138"/>
      <x:c r="H13" s="138"/>
      <x:c r="I13" s="138"/>
      <x:c r="J13" s="138"/>
      <x:c r="K13" s="138"/>
      <x:c r="L13" s="138"/>
      <x:c r="M13" s="138"/>
      <x:c r="N13" s="138"/>
      <x:c r="O13" s="138"/>
      <x:c r="P13" s="138"/>
      <x:c r="Q13" s="138"/>
      <x:c r="R13" s="138"/>
      <x:c r="S13" s="138"/>
      <x:c r="T13" s="138"/>
      <x:c r="U13" s="138"/>
      <x:c r="V13" s="138"/>
      <x:c r="W13" s="138"/>
      <x:c r="X13" s="138"/>
      <x:c r="Y13" s="138"/>
      <x:c r="Z13" s="138"/>
    </x:row>
    <x:row r="14">
      <x:c r="A14" s="141" t="str">
        <x:v>Credit utilization</x:v>
      </x:c>
      <x:c r="B14" s="204" t="n">
        <x:v>2500</x:v>
      </x:c>
      <x:c r="C14" s="204" t="n">
        <x:v>5000</x:v>
      </x:c>
      <x:c r="D14" s="204" t="n">
        <x:v>7500</x:v>
      </x:c>
      <x:c r="E14" s="204" t="n">
        <x:v>10000</x:v>
      </x:c>
      <x:c r="F14" s="205" t="n">
        <x:v>15000</x:v>
      </x:c>
      <x:c r="G14" s="138"/>
      <x:c r="H14" s="138"/>
      <x:c r="I14" s="138"/>
      <x:c r="J14" s="138"/>
      <x:c r="K14" s="138"/>
      <x:c r="L14" s="138"/>
      <x:c r="M14" s="138"/>
      <x:c r="N14" s="138"/>
      <x:c r="O14" s="138"/>
      <x:c r="P14" s="138"/>
      <x:c r="Q14" s="138"/>
      <x:c r="R14" s="138"/>
      <x:c r="S14" s="138"/>
      <x:c r="T14" s="138"/>
      <x:c r="U14" s="138"/>
      <x:c r="V14" s="138"/>
      <x:c r="W14" s="138"/>
      <x:c r="X14" s="138"/>
      <x:c r="Y14" s="138"/>
      <x:c r="Z14" s="138"/>
    </x:row>
    <x:row r="15">
      <x:c r="A15" s="206" t="n">
        <x:v>0.25</x:v>
      </x:c>
      <x:c r="B15" s="197" t="n">
        <x:f>(499-(8000*$A15*Assumptions!B6+B$14*Assumptions!B28*Assumptions!C16+B$14*Assumptions!B27*'Action Credits'!D17+Assumptions!B40))/499</x:f>
        <x:v>0.7893537074148297</x:v>
      </x:c>
      <x:c r="C15" s="197" t="n">
        <x:f>(499-(8000*$A15*Assumptions!B6+C$14*Assumptions!B28*Assumptions!C16+C$14*Assumptions!B27*'Action Credits'!D17+Assumptions!B40))/499</x:f>
        <x:v>0.7009519038076152</x:v>
      </x:c>
      <x:c r="D15" s="197" t="n">
        <x:f>(499-(8000*$A15*Assumptions!B6+D$14*Assumptions!B28*Assumptions!C16+D$14*Assumptions!B27*'Action Credits'!D17+Assumptions!B40))/499</x:f>
        <x:v>0.6125501002004008</x:v>
      </x:c>
      <x:c r="E15" s="197" t="n">
        <x:f>(499-(8000*$A15*Assumptions!B6+E$14*Assumptions!B28*Assumptions!C16+E$14*Assumptions!B27*'Action Credits'!D17+Assumptions!B40))/499</x:f>
        <x:v>0.5241482965931863</x:v>
      </x:c>
      <x:c r="F15" s="178" t="n">
        <x:f>(499-(8000*$A15*Assumptions!B6+F$14*Assumptions!B28*Assumptions!C16+F$14*Assumptions!B27*'Action Credits'!D17+Assumptions!B40))/499</x:f>
        <x:v>0.3473446893787575</x:v>
      </x:c>
      <x:c r="G15" s="138"/>
      <x:c r="H15" s="138"/>
      <x:c r="I15" s="138"/>
      <x:c r="J15" s="138"/>
      <x:c r="K15" s="138"/>
      <x:c r="L15" s="138"/>
      <x:c r="M15" s="138"/>
      <x:c r="N15" s="138"/>
      <x:c r="O15" s="138"/>
      <x:c r="P15" s="138"/>
      <x:c r="Q15" s="138"/>
      <x:c r="R15" s="138"/>
      <x:c r="S15" s="138"/>
      <x:c r="T15" s="138"/>
      <x:c r="U15" s="138"/>
      <x:c r="V15" s="138"/>
      <x:c r="W15" s="138"/>
      <x:c r="X15" s="138"/>
      <x:c r="Y15" s="138"/>
      <x:c r="Z15" s="138"/>
    </x:row>
    <x:row r="16">
      <x:c r="A16" s="207" t="n">
        <x:v>0.5</x:v>
      </x:c>
      <x:c r="B16" s="199" t="n">
        <x:f>(499-(8000*$A16*Assumptions!B6+B$14*Assumptions!B28*Assumptions!C16+B$14*Assumptions!B27*'Action Credits'!D17+Assumptions!B40))/499</x:f>
        <x:v>0.7492735470941884</x:v>
      </x:c>
      <x:c r="C16" s="199" t="n">
        <x:f>(499-(8000*$A16*Assumptions!B6+C$14*Assumptions!B28*Assumptions!C16+C$14*Assumptions!B27*'Action Credits'!D17+Assumptions!B40))/499</x:f>
        <x:v>0.6608717434869739</x:v>
      </x:c>
      <x:c r="D16" s="199" t="n">
        <x:f>(499-(8000*$A16*Assumptions!B6+D$14*Assumptions!B28*Assumptions!C16+D$14*Assumptions!B27*'Action Credits'!D17+Assumptions!B40))/499</x:f>
        <x:v>0.5724699398797596</x:v>
      </x:c>
      <x:c r="E16" s="199" t="n">
        <x:f>(499-(8000*$A16*Assumptions!B6+E$14*Assumptions!B28*Assumptions!C16+E$14*Assumptions!B27*'Action Credits'!D17+Assumptions!B40))/499</x:f>
        <x:v>0.484068136272545</x:v>
      </x:c>
      <x:c r="F16" s="183" t="n">
        <x:f>(499-(8000*$A16*Assumptions!B6+F$14*Assumptions!B28*Assumptions!C16+F$14*Assumptions!B27*'Action Credits'!D17+Assumptions!B40))/499</x:f>
        <x:v>0.3072645290581162</x:v>
      </x:c>
      <x:c r="G16" s="138"/>
      <x:c r="H16" s="138"/>
      <x:c r="I16" s="138"/>
      <x:c r="J16" s="138"/>
      <x:c r="K16" s="138"/>
      <x:c r="L16" s="138"/>
      <x:c r="M16" s="138"/>
      <x:c r="N16" s="138"/>
      <x:c r="O16" s="138"/>
      <x:c r="P16" s="138"/>
      <x:c r="Q16" s="138"/>
      <x:c r="R16" s="138"/>
      <x:c r="S16" s="138"/>
      <x:c r="T16" s="138"/>
      <x:c r="U16" s="138"/>
      <x:c r="V16" s="138"/>
      <x:c r="W16" s="138"/>
      <x:c r="X16" s="138"/>
      <x:c r="Y16" s="138"/>
      <x:c r="Z16" s="138"/>
    </x:row>
    <x:row r="17">
      <x:c r="A17" s="207" t="n">
        <x:v>0.75</x:v>
      </x:c>
      <x:c r="B17" s="199" t="n">
        <x:f>(499-(8000*$A17*Assumptions!B6+B$14*Assumptions!B28*Assumptions!C16+B$14*Assumptions!B27*'Action Credits'!D17+Assumptions!B40))/499</x:f>
        <x:v>0.709193386773547</x:v>
      </x:c>
      <x:c r="C17" s="199" t="n">
        <x:f>(499-(8000*$A17*Assumptions!B6+C$14*Assumptions!B28*Assumptions!C16+C$14*Assumptions!B27*'Action Credits'!D17+Assumptions!B40))/499</x:f>
        <x:v>0.6207915831663327</x:v>
      </x:c>
      <x:c r="D17" s="199" t="n">
        <x:f>(499-(8000*$A17*Assumptions!B6+D$14*Assumptions!B28*Assumptions!C16+D$14*Assumptions!B27*'Action Credits'!D17+Assumptions!B40))/499</x:f>
        <x:v>0.5323897795591183</x:v>
      </x:c>
      <x:c r="E17" s="199" t="n">
        <x:f>(499-(8000*$A17*Assumptions!B6+E$14*Assumptions!B28*Assumptions!C16+E$14*Assumptions!B27*'Action Credits'!D17+Assumptions!B40))/499</x:f>
        <x:v>0.4439879759519037</x:v>
      </x:c>
      <x:c r="F17" s="183" t="n">
        <x:f>(499-(8000*$A17*Assumptions!B6+F$14*Assumptions!B28*Assumptions!C16+F$14*Assumptions!B27*'Action Credits'!D17+Assumptions!B40))/499</x:f>
        <x:v>0.2671843687374749</x:v>
      </x:c>
      <x:c r="G17" s="138"/>
      <x:c r="H17" s="138"/>
      <x:c r="I17" s="138"/>
      <x:c r="J17" s="138"/>
      <x:c r="K17" s="138"/>
      <x:c r="L17" s="138"/>
      <x:c r="M17" s="138"/>
      <x:c r="N17" s="138"/>
      <x:c r="O17" s="138"/>
      <x:c r="P17" s="138"/>
      <x:c r="Q17" s="138"/>
      <x:c r="R17" s="138"/>
      <x:c r="S17" s="138"/>
      <x:c r="T17" s="138"/>
      <x:c r="U17" s="138"/>
      <x:c r="V17" s="138"/>
      <x:c r="W17" s="138"/>
      <x:c r="X17" s="138"/>
      <x:c r="Y17" s="138"/>
      <x:c r="Z17" s="138"/>
    </x:row>
    <x:row r="18">
      <x:c r="A18" s="207" t="n">
        <x:v>1</x:v>
      </x:c>
      <x:c r="B18" s="199" t="n">
        <x:f>(499-(8000*$A18*Assumptions!B6+B$14*Assumptions!B28*Assumptions!C16+B$14*Assumptions!B27*'Action Credits'!D17+Assumptions!B40))/499</x:f>
        <x:v>0.6691132264529058</x:v>
      </x:c>
      <x:c r="C18" s="199" t="n">
        <x:f>(499-(8000*$A18*Assumptions!B6+C$14*Assumptions!B28*Assumptions!C16+C$14*Assumptions!B27*'Action Credits'!D17+Assumptions!B40))/499</x:f>
        <x:v>0.5807114228456913</x:v>
      </x:c>
      <x:c r="D18" s="199" t="n">
        <x:f>(499-(8000*$A18*Assumptions!B6+D$14*Assumptions!B28*Assumptions!C16+D$14*Assumptions!B27*'Action Credits'!D17+Assumptions!B40))/499</x:f>
        <x:v>0.49230961923847694</x:v>
      </x:c>
      <x:c r="E18" s="199" t="n">
        <x:f>(499-(8000*$A18*Assumptions!B6+E$14*Assumptions!B28*Assumptions!C16+E$14*Assumptions!B27*'Action Credits'!D17+Assumptions!B40))/499</x:f>
        <x:v>0.40390781563126243</x:v>
      </x:c>
      <x:c r="F18" s="183" t="n">
        <x:f>(499-(8000*$A18*Assumptions!B6+F$14*Assumptions!B28*Assumptions!C16+F$14*Assumptions!B27*'Action Credits'!D17+Assumptions!B40))/499</x:f>
        <x:v>0.22710420841683365</x:v>
      </x:c>
      <x:c r="G18" s="138"/>
      <x:c r="H18" s="138"/>
      <x:c r="I18" s="138"/>
      <x:c r="J18" s="138"/>
      <x:c r="K18" s="138"/>
      <x:c r="L18" s="138"/>
      <x:c r="M18" s="138"/>
      <x:c r="N18" s="138"/>
      <x:c r="O18" s="138"/>
      <x:c r="P18" s="138"/>
      <x:c r="Q18" s="138"/>
      <x:c r="R18" s="138"/>
      <x:c r="S18" s="138"/>
      <x:c r="T18" s="138"/>
      <x:c r="U18" s="138"/>
      <x:c r="V18" s="138"/>
      <x:c r="W18" s="138"/>
      <x:c r="X18" s="138"/>
      <x:c r="Y18" s="138"/>
      <x:c r="Z18" s="138"/>
    </x:row>
    <x:row r="19">
      <x:c r="A19" s="208" t="n">
        <x:v>1.25</x:v>
      </x:c>
      <x:c r="B19" s="209" t="n">
        <x:f>(499-(8000*$A19*Assumptions!B6+B$14*Assumptions!B28*Assumptions!C16+B$14*Assumptions!B27*'Action Credits'!D17+Assumptions!B40))/499</x:f>
        <x:v>0.6290330661322645</x:v>
      </x:c>
      <x:c r="C19" s="209" t="n">
        <x:f>(499-(8000*$A19*Assumptions!B6+C$14*Assumptions!B28*Assumptions!C16+C$14*Assumptions!B27*'Action Credits'!D17+Assumptions!B40))/499</x:f>
        <x:v>0.54063126252505</x:v>
      </x:c>
      <x:c r="D19" s="209" t="n">
        <x:f>(499-(8000*$A19*Assumptions!B6+D$14*Assumptions!B28*Assumptions!C16+D$14*Assumptions!B27*'Action Credits'!D17+Assumptions!B40))/499</x:f>
        <x:v>0.4522294589178357</x:v>
      </x:c>
      <x:c r="E19" s="209" t="n">
        <x:f>(499-(8000*$A19*Assumptions!B6+E$14*Assumptions!B28*Assumptions!C16+E$14*Assumptions!B27*'Action Credits'!D17+Assumptions!B40))/499</x:f>
        <x:v>0.36382765531062117</x:v>
      </x:c>
      <x:c r="F19" s="188" t="n">
        <x:f>(499-(8000*$A19*Assumptions!B6+F$14*Assumptions!B28*Assumptions!C16+F$14*Assumptions!B27*'Action Credits'!D17+Assumptions!B40))/499</x:f>
        <x:v>0.18702404809619236</x:v>
      </x:c>
      <x:c r="G19" s="138"/>
      <x:c r="H19" s="138"/>
      <x:c r="I19" s="138"/>
      <x:c r="J19" s="138"/>
      <x:c r="K19" s="138"/>
      <x:c r="L19" s="138"/>
      <x:c r="M19" s="138"/>
      <x:c r="N19" s="138"/>
      <x:c r="O19" s="138"/>
      <x:c r="P19" s="138"/>
      <x:c r="Q19" s="138"/>
      <x:c r="R19" s="138"/>
      <x:c r="S19" s="138"/>
      <x:c r="T19" s="138"/>
      <x:c r="U19" s="138"/>
      <x:c r="V19" s="138"/>
      <x:c r="W19" s="138"/>
      <x:c r="X19" s="138"/>
      <x:c r="Y19" s="138"/>
      <x:c r="Z19" s="138"/>
    </x:row>
    <x:row r="20">
      <x:c r="A20" s="138"/>
      <x:c r="B20" s="138"/>
      <x:c r="C20" s="138"/>
      <x:c r="D20" s="138"/>
      <x:c r="E20" s="138"/>
      <x:c r="F20" s="138"/>
      <x:c r="G20" s="138"/>
      <x:c r="H20" s="138"/>
      <x:c r="I20" s="138"/>
      <x:c r="J20" s="138"/>
      <x:c r="K20" s="138"/>
      <x:c r="L20" s="138"/>
      <x:c r="M20" s="138"/>
      <x:c r="N20" s="138"/>
      <x:c r="O20" s="138"/>
      <x:c r="P20" s="138"/>
      <x:c r="Q20" s="138"/>
      <x:c r="R20" s="138"/>
      <x:c r="S20" s="138"/>
      <x:c r="T20" s="138"/>
      <x:c r="U20" s="138"/>
      <x:c r="V20" s="138"/>
      <x:c r="W20" s="138"/>
      <x:c r="X20" s="138"/>
      <x:c r="Y20" s="138"/>
      <x:c r="Z20" s="138"/>
    </x:row>
    <x:row r="21">
      <x:c r="A21" s="138"/>
      <x:c r="B21" s="138"/>
      <x:c r="C21" s="138"/>
      <x:c r="D21" s="138"/>
      <x:c r="E21" s="138"/>
      <x:c r="F21" s="138"/>
      <x:c r="G21" s="138"/>
      <x:c r="H21" s="138"/>
      <x:c r="I21" s="138"/>
      <x:c r="J21" s="138"/>
      <x:c r="K21" s="138"/>
      <x:c r="L21" s="138"/>
      <x:c r="M21" s="138"/>
      <x:c r="N21" s="138"/>
      <x:c r="O21" s="138"/>
      <x:c r="P21" s="138"/>
      <x:c r="Q21" s="138"/>
      <x:c r="R21" s="138"/>
      <x:c r="S21" s="138"/>
      <x:c r="T21" s="138"/>
      <x:c r="U21" s="138"/>
      <x:c r="V21" s="138"/>
      <x:c r="W21" s="138"/>
      <x:c r="X21" s="138"/>
      <x:c r="Y21" s="138"/>
      <x:c r="Z21" s="138"/>
    </x:row>
    <x:row r="22">
      <x:c r="A22" s="138"/>
      <x:c r="B22" s="138"/>
      <x:c r="C22" s="138"/>
      <x:c r="D22" s="138"/>
      <x:c r="E22" s="138"/>
      <x:c r="F22" s="138"/>
      <x:c r="G22" s="138"/>
      <x:c r="H22" s="138"/>
      <x:c r="I22" s="138"/>
      <x:c r="J22" s="138"/>
      <x:c r="K22" s="138"/>
      <x:c r="L22" s="138"/>
      <x:c r="M22" s="138"/>
      <x:c r="N22" s="138"/>
      <x:c r="O22" s="138"/>
      <x:c r="P22" s="138"/>
      <x:c r="Q22" s="138"/>
      <x:c r="R22" s="138"/>
      <x:c r="S22" s="138"/>
      <x:c r="T22" s="138"/>
      <x:c r="U22" s="138"/>
      <x:c r="V22" s="138"/>
      <x:c r="W22" s="138"/>
      <x:c r="X22" s="138"/>
      <x:c r="Y22" s="138"/>
      <x:c r="Z22" s="138"/>
    </x:row>
    <x:row r="23">
      <x:c r="A23" s="138"/>
      <x:c r="B23" s="138"/>
      <x:c r="C23" s="138"/>
      <x:c r="D23" s="138"/>
      <x:c r="E23" s="138"/>
      <x:c r="F23" s="138"/>
      <x:c r="G23" s="138"/>
      <x:c r="H23" s="138"/>
      <x:c r="I23" s="138"/>
      <x:c r="J23" s="138"/>
      <x:c r="K23" s="138"/>
      <x:c r="L23" s="138"/>
      <x:c r="M23" s="138"/>
      <x:c r="N23" s="138"/>
      <x:c r="O23" s="138"/>
      <x:c r="P23" s="138"/>
      <x:c r="Q23" s="138"/>
      <x:c r="R23" s="138"/>
      <x:c r="S23" s="138"/>
      <x:c r="T23" s="138"/>
      <x:c r="U23" s="138"/>
      <x:c r="V23" s="138"/>
      <x:c r="W23" s="138"/>
      <x:c r="X23" s="138"/>
      <x:c r="Y23" s="138"/>
      <x:c r="Z23" s="138"/>
    </x:row>
    <x:row r="24">
      <x:c r="A24" s="138"/>
      <x:c r="B24" s="138"/>
      <x:c r="C24" s="138"/>
      <x:c r="D24" s="138"/>
      <x:c r="E24" s="138"/>
      <x:c r="F24" s="138"/>
      <x:c r="G24" s="138"/>
      <x:c r="H24" s="138"/>
      <x:c r="I24" s="138"/>
      <x:c r="J24" s="138"/>
      <x:c r="K24" s="138"/>
      <x:c r="L24" s="138"/>
      <x:c r="M24" s="138"/>
      <x:c r="N24" s="138"/>
      <x:c r="O24" s="138"/>
      <x:c r="P24" s="138"/>
      <x:c r="Q24" s="138"/>
      <x:c r="R24" s="138"/>
      <x:c r="S24" s="138"/>
      <x:c r="T24" s="138"/>
      <x:c r="U24" s="138"/>
      <x:c r="V24" s="138"/>
      <x:c r="W24" s="138"/>
      <x:c r="X24" s="138"/>
      <x:c r="Y24" s="138"/>
      <x:c r="Z24" s="138"/>
    </x:row>
    <x:row r="25">
      <x:c r="A25" s="138"/>
      <x:c r="B25" s="138"/>
      <x:c r="C25" s="138"/>
      <x:c r="D25" s="138"/>
      <x:c r="E25" s="138"/>
      <x:c r="F25" s="138"/>
      <x:c r="G25" s="138"/>
      <x:c r="H25" s="138"/>
      <x:c r="I25" s="138"/>
      <x:c r="J25" s="138"/>
      <x:c r="K25" s="138"/>
      <x:c r="L25" s="138"/>
      <x:c r="M25" s="138"/>
      <x:c r="N25" s="138"/>
      <x:c r="O25" s="138"/>
      <x:c r="P25" s="138"/>
      <x:c r="Q25" s="138"/>
      <x:c r="R25" s="138"/>
      <x:c r="S25" s="138"/>
      <x:c r="T25" s="138"/>
      <x:c r="U25" s="138"/>
      <x:c r="V25" s="138"/>
      <x:c r="W25" s="138"/>
      <x:c r="X25" s="138"/>
      <x:c r="Y25" s="138"/>
      <x:c r="Z25" s="138"/>
    </x:row>
    <x:row r="26">
      <x:c r="A26" s="138"/>
      <x:c r="B26" s="138"/>
      <x:c r="C26" s="138"/>
      <x:c r="D26" s="138"/>
      <x:c r="E26" s="138"/>
      <x:c r="F26" s="138"/>
      <x:c r="G26" s="138"/>
      <x:c r="H26" s="138"/>
      <x:c r="I26" s="138"/>
      <x:c r="J26" s="138"/>
      <x:c r="K26" s="138"/>
      <x:c r="L26" s="138"/>
      <x:c r="M26" s="138"/>
      <x:c r="N26" s="138"/>
      <x:c r="O26" s="138"/>
      <x:c r="P26" s="138"/>
      <x:c r="Q26" s="138"/>
      <x:c r="R26" s="138"/>
      <x:c r="S26" s="138"/>
      <x:c r="T26" s="138"/>
      <x:c r="U26" s="138"/>
      <x:c r="V26" s="138"/>
      <x:c r="W26" s="138"/>
      <x:c r="X26" s="138"/>
      <x:c r="Y26" s="138"/>
      <x:c r="Z26" s="138"/>
    </x:row>
    <x:row r="27">
      <x:c r="A27" s="138"/>
      <x:c r="B27" s="138"/>
      <x:c r="C27" s="138"/>
      <x:c r="D27" s="138"/>
      <x:c r="E27" s="138"/>
      <x:c r="F27" s="138"/>
      <x:c r="G27" s="138"/>
      <x:c r="H27" s="138"/>
      <x:c r="I27" s="138"/>
      <x:c r="J27" s="138"/>
      <x:c r="K27" s="138"/>
      <x:c r="L27" s="138"/>
      <x:c r="M27" s="138"/>
      <x:c r="N27" s="138"/>
      <x:c r="O27" s="138"/>
      <x:c r="P27" s="138"/>
      <x:c r="Q27" s="138"/>
      <x:c r="R27" s="138"/>
      <x:c r="S27" s="138"/>
      <x:c r="T27" s="138"/>
      <x:c r="U27" s="138"/>
      <x:c r="V27" s="138"/>
      <x:c r="W27" s="138"/>
      <x:c r="X27" s="138"/>
      <x:c r="Y27" s="138"/>
      <x:c r="Z27" s="138"/>
    </x:row>
    <x:row r="28">
      <x:c r="A28" s="138"/>
      <x:c r="B28" s="138"/>
      <x:c r="C28" s="138"/>
      <x:c r="D28" s="138"/>
      <x:c r="E28" s="138"/>
      <x:c r="F28" s="138"/>
      <x:c r="G28" s="138"/>
      <x:c r="H28" s="138"/>
      <x:c r="I28" s="138"/>
      <x:c r="J28" s="138"/>
      <x:c r="K28" s="138"/>
      <x:c r="L28" s="138"/>
      <x:c r="M28" s="138"/>
      <x:c r="N28" s="138"/>
      <x:c r="O28" s="138"/>
      <x:c r="P28" s="138"/>
      <x:c r="Q28" s="138"/>
      <x:c r="R28" s="138"/>
      <x:c r="S28" s="138"/>
      <x:c r="T28" s="138"/>
      <x:c r="U28" s="138"/>
      <x:c r="V28" s="138"/>
      <x:c r="W28" s="138"/>
      <x:c r="X28" s="138"/>
      <x:c r="Y28" s="138"/>
      <x:c r="Z28" s="138"/>
    </x:row>
    <x:row r="29">
      <x:c r="A29" s="138"/>
      <x:c r="B29" s="138"/>
      <x:c r="C29" s="138"/>
      <x:c r="D29" s="138"/>
      <x:c r="E29" s="138"/>
      <x:c r="F29" s="138"/>
      <x:c r="G29" s="138"/>
      <x:c r="H29" s="138"/>
      <x:c r="I29" s="138"/>
      <x:c r="J29" s="138"/>
      <x:c r="K29" s="138"/>
      <x:c r="L29" s="138"/>
      <x:c r="M29" s="138"/>
      <x:c r="N29" s="138"/>
      <x:c r="O29" s="138"/>
      <x:c r="P29" s="138"/>
      <x:c r="Q29" s="138"/>
      <x:c r="R29" s="138"/>
      <x:c r="S29" s="138"/>
      <x:c r="T29" s="138"/>
      <x:c r="U29" s="138"/>
      <x:c r="V29" s="138"/>
      <x:c r="W29" s="138"/>
      <x:c r="X29" s="138"/>
      <x:c r="Y29" s="138"/>
      <x:c r="Z29" s="138"/>
    </x:row>
    <x:row r="30">
      <x:c r="A30" s="138"/>
      <x:c r="B30" s="138"/>
      <x:c r="C30" s="138"/>
      <x:c r="D30" s="138"/>
      <x:c r="E30" s="138"/>
      <x:c r="F30" s="138"/>
      <x:c r="G30" s="138"/>
      <x:c r="H30" s="138"/>
      <x:c r="I30" s="138"/>
      <x:c r="J30" s="138"/>
      <x:c r="K30" s="138"/>
      <x:c r="L30" s="138"/>
      <x:c r="M30" s="138"/>
      <x:c r="N30" s="138"/>
      <x:c r="O30" s="138"/>
      <x:c r="P30" s="138"/>
      <x:c r="Q30" s="138"/>
      <x:c r="R30" s="138"/>
      <x:c r="S30" s="138"/>
      <x:c r="T30" s="138"/>
      <x:c r="U30" s="138"/>
      <x:c r="V30" s="138"/>
      <x:c r="W30" s="138"/>
      <x:c r="X30" s="138"/>
      <x:c r="Y30" s="138"/>
      <x:c r="Z30" s="138"/>
    </x:row>
    <x:row r="31">
      <x:c r="A31" s="138"/>
      <x:c r="B31" s="138"/>
      <x:c r="C31" s="138"/>
      <x:c r="D31" s="138"/>
      <x:c r="E31" s="138"/>
      <x:c r="F31" s="138"/>
      <x:c r="G31" s="138"/>
      <x:c r="H31" s="138"/>
      <x:c r="I31" s="138"/>
      <x:c r="J31" s="138"/>
      <x:c r="K31" s="138"/>
      <x:c r="L31" s="138"/>
      <x:c r="M31" s="138"/>
      <x:c r="N31" s="138"/>
      <x:c r="O31" s="138"/>
      <x:c r="P31" s="138"/>
      <x:c r="Q31" s="138"/>
      <x:c r="R31" s="138"/>
      <x:c r="S31" s="138"/>
      <x:c r="T31" s="138"/>
      <x:c r="U31" s="138"/>
      <x:c r="V31" s="138"/>
      <x:c r="W31" s="138"/>
      <x:c r="X31" s="138"/>
      <x:c r="Y31" s="138"/>
      <x:c r="Z31" s="138"/>
    </x:row>
    <x:row r="32">
      <x:c r="A32" s="138"/>
      <x:c r="B32" s="138"/>
      <x:c r="C32" s="138"/>
      <x:c r="D32" s="138"/>
      <x:c r="E32" s="138"/>
      <x:c r="F32" s="138"/>
      <x:c r="G32" s="138"/>
      <x:c r="H32" s="138"/>
      <x:c r="I32" s="138"/>
      <x:c r="J32" s="138"/>
      <x:c r="K32" s="138"/>
      <x:c r="L32" s="138"/>
      <x:c r="M32" s="138"/>
      <x:c r="N32" s="138"/>
      <x:c r="O32" s="138"/>
      <x:c r="P32" s="138"/>
      <x:c r="Q32" s="138"/>
      <x:c r="R32" s="138"/>
      <x:c r="S32" s="138"/>
      <x:c r="T32" s="138"/>
      <x:c r="U32" s="138"/>
      <x:c r="V32" s="138"/>
      <x:c r="W32" s="138"/>
      <x:c r="X32" s="138"/>
      <x:c r="Y32" s="138"/>
      <x:c r="Z32" s="138"/>
    </x:row>
    <x:row r="33">
      <x:c r="A33" s="138"/>
      <x:c r="B33" s="138"/>
      <x:c r="C33" s="138"/>
      <x:c r="D33" s="138"/>
      <x:c r="E33" s="138"/>
      <x:c r="F33" s="138"/>
      <x:c r="G33" s="138"/>
      <x:c r="H33" s="138"/>
      <x:c r="I33" s="138"/>
      <x:c r="J33" s="138"/>
      <x:c r="K33" s="138"/>
      <x:c r="L33" s="138"/>
      <x:c r="M33" s="138"/>
      <x:c r="N33" s="138"/>
      <x:c r="O33" s="138"/>
      <x:c r="P33" s="138"/>
      <x:c r="Q33" s="138"/>
      <x:c r="R33" s="138"/>
      <x:c r="S33" s="138"/>
      <x:c r="T33" s="138"/>
      <x:c r="U33" s="138"/>
      <x:c r="V33" s="138"/>
      <x:c r="W33" s="138"/>
      <x:c r="X33" s="138"/>
      <x:c r="Y33" s="138"/>
      <x:c r="Z33" s="138"/>
    </x:row>
    <x:row r="34">
      <x:c r="A34" s="138"/>
      <x:c r="B34" s="138"/>
      <x:c r="C34" s="138"/>
      <x:c r="D34" s="138"/>
      <x:c r="E34" s="138"/>
      <x:c r="F34" s="138"/>
      <x:c r="G34" s="138"/>
      <x:c r="H34" s="138"/>
      <x:c r="I34" s="138"/>
      <x:c r="J34" s="138"/>
      <x:c r="K34" s="138"/>
      <x:c r="L34" s="138"/>
      <x:c r="M34" s="138"/>
      <x:c r="N34" s="138"/>
      <x:c r="O34" s="138"/>
      <x:c r="P34" s="138"/>
      <x:c r="Q34" s="138"/>
      <x:c r="R34" s="138"/>
      <x:c r="S34" s="138"/>
      <x:c r="T34" s="138"/>
      <x:c r="U34" s="138"/>
      <x:c r="V34" s="138"/>
      <x:c r="W34" s="138"/>
      <x:c r="X34" s="138"/>
      <x:c r="Y34" s="138"/>
      <x:c r="Z34" s="138"/>
    </x:row>
    <x:row r="35">
      <x:c r="A35" s="138"/>
      <x:c r="B35" s="138"/>
      <x:c r="C35" s="138"/>
      <x:c r="D35" s="138"/>
      <x:c r="E35" s="138"/>
      <x:c r="F35" s="138"/>
      <x:c r="G35" s="138"/>
      <x:c r="H35" s="138"/>
      <x:c r="I35" s="138"/>
      <x:c r="J35" s="138"/>
      <x:c r="K35" s="138"/>
      <x:c r="L35" s="138"/>
      <x:c r="M35" s="138"/>
      <x:c r="N35" s="138"/>
      <x:c r="O35" s="138"/>
      <x:c r="P35" s="138"/>
      <x:c r="Q35" s="138"/>
      <x:c r="R35" s="138"/>
      <x:c r="S35" s="138"/>
      <x:c r="T35" s="138"/>
      <x:c r="U35" s="138"/>
      <x:c r="V35" s="138"/>
      <x:c r="W35" s="138"/>
      <x:c r="X35" s="138"/>
      <x:c r="Y35" s="138"/>
      <x:c r="Z35" s="138"/>
    </x:row>
    <x:row r="36">
      <x:c r="A36" s="138"/>
      <x:c r="B36" s="138"/>
      <x:c r="C36" s="138"/>
      <x:c r="D36" s="138"/>
      <x:c r="E36" s="138"/>
      <x:c r="F36" s="138"/>
      <x:c r="G36" s="138"/>
      <x:c r="H36" s="138"/>
      <x:c r="I36" s="138"/>
      <x:c r="J36" s="138"/>
      <x:c r="K36" s="138"/>
      <x:c r="L36" s="138"/>
      <x:c r="M36" s="138"/>
      <x:c r="N36" s="138"/>
      <x:c r="O36" s="138"/>
      <x:c r="P36" s="138"/>
      <x:c r="Q36" s="138"/>
      <x:c r="R36" s="138"/>
      <x:c r="S36" s="138"/>
      <x:c r="T36" s="138"/>
      <x:c r="U36" s="138"/>
      <x:c r="V36" s="138"/>
      <x:c r="W36" s="138"/>
      <x:c r="X36" s="138"/>
      <x:c r="Y36" s="138"/>
      <x:c r="Z36" s="138"/>
    </x:row>
    <x:row r="37">
      <x:c r="A37" s="138"/>
      <x:c r="B37" s="138"/>
      <x:c r="C37" s="138"/>
      <x:c r="D37" s="138"/>
      <x:c r="E37" s="138"/>
      <x:c r="F37" s="138"/>
      <x:c r="G37" s="138"/>
      <x:c r="H37" s="138"/>
      <x:c r="I37" s="138"/>
      <x:c r="J37" s="138"/>
      <x:c r="K37" s="138"/>
      <x:c r="L37" s="138"/>
      <x:c r="M37" s="138"/>
      <x:c r="N37" s="138"/>
      <x:c r="O37" s="138"/>
      <x:c r="P37" s="138"/>
      <x:c r="Q37" s="138"/>
      <x:c r="R37" s="138"/>
      <x:c r="S37" s="138"/>
      <x:c r="T37" s="138"/>
      <x:c r="U37" s="138"/>
      <x:c r="V37" s="138"/>
      <x:c r="W37" s="138"/>
      <x:c r="X37" s="138"/>
      <x:c r="Y37" s="138"/>
      <x:c r="Z37" s="138"/>
    </x:row>
    <x:row r="38">
      <x:c r="A38" s="138"/>
      <x:c r="B38" s="138"/>
      <x:c r="C38" s="138"/>
      <x:c r="D38" s="138"/>
      <x:c r="E38" s="138"/>
      <x:c r="F38" s="138"/>
      <x:c r="G38" s="138"/>
      <x:c r="H38" s="138"/>
      <x:c r="I38" s="138"/>
      <x:c r="J38" s="138"/>
      <x:c r="K38" s="138"/>
      <x:c r="L38" s="138"/>
      <x:c r="M38" s="138"/>
      <x:c r="N38" s="138"/>
      <x:c r="O38" s="138"/>
      <x:c r="P38" s="138"/>
      <x:c r="Q38" s="138"/>
      <x:c r="R38" s="138"/>
      <x:c r="S38" s="138"/>
      <x:c r="T38" s="138"/>
      <x:c r="U38" s="138"/>
      <x:c r="V38" s="138"/>
      <x:c r="W38" s="138"/>
      <x:c r="X38" s="138"/>
      <x:c r="Y38" s="138"/>
      <x:c r="Z38" s="138"/>
    </x:row>
    <x:row r="39">
      <x:c r="A39" s="138"/>
      <x:c r="B39" s="138"/>
      <x:c r="C39" s="138"/>
      <x:c r="D39" s="138"/>
      <x:c r="E39" s="138"/>
      <x:c r="F39" s="138"/>
      <x:c r="G39" s="138"/>
      <x:c r="H39" s="138"/>
      <x:c r="I39" s="138"/>
      <x:c r="J39" s="138"/>
      <x:c r="K39" s="138"/>
      <x:c r="L39" s="138"/>
      <x:c r="M39" s="138"/>
      <x:c r="N39" s="138"/>
      <x:c r="O39" s="138"/>
      <x:c r="P39" s="138"/>
      <x:c r="Q39" s="138"/>
      <x:c r="R39" s="138"/>
      <x:c r="S39" s="138"/>
      <x:c r="T39" s="138"/>
      <x:c r="U39" s="138"/>
      <x:c r="V39" s="138"/>
      <x:c r="W39" s="138"/>
      <x:c r="X39" s="138"/>
      <x:c r="Y39" s="138"/>
      <x:c r="Z39" s="138"/>
    </x:row>
    <x:row r="40">
      <x:c r="A40" s="138"/>
      <x:c r="B40" s="138"/>
      <x:c r="C40" s="138"/>
      <x:c r="D40" s="138"/>
      <x:c r="E40" s="138"/>
      <x:c r="F40" s="138"/>
      <x:c r="G40" s="138"/>
      <x:c r="H40" s="138"/>
      <x:c r="I40" s="138"/>
      <x:c r="J40" s="138"/>
      <x:c r="K40" s="138"/>
      <x:c r="L40" s="138"/>
      <x:c r="M40" s="138"/>
      <x:c r="N40" s="138"/>
      <x:c r="O40" s="138"/>
      <x:c r="P40" s="138"/>
      <x:c r="Q40" s="138"/>
      <x:c r="R40" s="138"/>
      <x:c r="S40" s="138"/>
      <x:c r="T40" s="138"/>
      <x:c r="U40" s="138"/>
      <x:c r="V40" s="138"/>
      <x:c r="W40" s="138"/>
      <x:c r="X40" s="138"/>
      <x:c r="Y40" s="138"/>
      <x:c r="Z40" s="138"/>
    </x:row>
    <x:row r="41">
      <x:c r="A41" s="138"/>
      <x:c r="B41" s="138"/>
      <x:c r="C41" s="138"/>
      <x:c r="D41" s="138"/>
      <x:c r="E41" s="138"/>
      <x:c r="F41" s="138"/>
      <x:c r="G41" s="138"/>
      <x:c r="H41" s="138"/>
      <x:c r="I41" s="138"/>
      <x:c r="J41" s="138"/>
      <x:c r="K41" s="138"/>
      <x:c r="L41" s="138"/>
      <x:c r="M41" s="138"/>
      <x:c r="N41" s="138"/>
      <x:c r="O41" s="138"/>
      <x:c r="P41" s="138"/>
      <x:c r="Q41" s="138"/>
      <x:c r="R41" s="138"/>
      <x:c r="S41" s="138"/>
      <x:c r="T41" s="138"/>
      <x:c r="U41" s="138"/>
      <x:c r="V41" s="138"/>
      <x:c r="W41" s="138"/>
      <x:c r="X41" s="138"/>
      <x:c r="Y41" s="138"/>
      <x:c r="Z41" s="138"/>
    </x:row>
    <x:row r="42">
      <x:c r="A42" s="138"/>
      <x:c r="B42" s="138"/>
      <x:c r="C42" s="138"/>
      <x:c r="D42" s="138"/>
      <x:c r="E42" s="138"/>
      <x:c r="F42" s="138"/>
      <x:c r="G42" s="138"/>
      <x:c r="H42" s="138"/>
      <x:c r="I42" s="138"/>
      <x:c r="J42" s="138"/>
      <x:c r="K42" s="138"/>
      <x:c r="L42" s="138"/>
      <x:c r="M42" s="138"/>
      <x:c r="N42" s="138"/>
      <x:c r="O42" s="138"/>
      <x:c r="P42" s="138"/>
      <x:c r="Q42" s="138"/>
      <x:c r="R42" s="138"/>
      <x:c r="S42" s="138"/>
      <x:c r="T42" s="138"/>
      <x:c r="U42" s="138"/>
      <x:c r="V42" s="138"/>
      <x:c r="W42" s="138"/>
      <x:c r="X42" s="138"/>
      <x:c r="Y42" s="138"/>
      <x:c r="Z42" s="138"/>
    </x:row>
    <x:row r="43">
      <x:c r="A43" s="138"/>
      <x:c r="B43" s="138"/>
      <x:c r="C43" s="138"/>
      <x:c r="D43" s="138"/>
      <x:c r="E43" s="138"/>
      <x:c r="F43" s="138"/>
      <x:c r="G43" s="138"/>
      <x:c r="H43" s="138"/>
      <x:c r="I43" s="138"/>
      <x:c r="J43" s="138"/>
      <x:c r="K43" s="138"/>
      <x:c r="L43" s="138"/>
      <x:c r="M43" s="138"/>
      <x:c r="N43" s="138"/>
      <x:c r="O43" s="138"/>
      <x:c r="P43" s="138"/>
      <x:c r="Q43" s="138"/>
      <x:c r="R43" s="138"/>
      <x:c r="S43" s="138"/>
      <x:c r="T43" s="138"/>
      <x:c r="U43" s="138"/>
      <x:c r="V43" s="138"/>
      <x:c r="W43" s="138"/>
      <x:c r="X43" s="138"/>
      <x:c r="Y43" s="138"/>
      <x:c r="Z43" s="138"/>
    </x:row>
    <x:row r="44">
      <x:c r="A44" s="138"/>
      <x:c r="B44" s="138"/>
      <x:c r="C44" s="138"/>
      <x:c r="D44" s="138"/>
      <x:c r="E44" s="138"/>
      <x:c r="F44" s="138"/>
      <x:c r="G44" s="138"/>
      <x:c r="H44" s="138"/>
      <x:c r="I44" s="138"/>
      <x:c r="J44" s="138"/>
      <x:c r="K44" s="138"/>
      <x:c r="L44" s="138"/>
      <x:c r="M44" s="138"/>
      <x:c r="N44" s="138"/>
      <x:c r="O44" s="138"/>
      <x:c r="P44" s="138"/>
      <x:c r="Q44" s="138"/>
      <x:c r="R44" s="138"/>
      <x:c r="S44" s="138"/>
      <x:c r="T44" s="138"/>
      <x:c r="U44" s="138"/>
      <x:c r="V44" s="138"/>
      <x:c r="W44" s="138"/>
      <x:c r="X44" s="138"/>
      <x:c r="Y44" s="138"/>
      <x:c r="Z44" s="138"/>
    </x:row>
    <x:row r="45">
      <x:c r="A45" s="138"/>
      <x:c r="B45" s="138"/>
      <x:c r="C45" s="138"/>
      <x:c r="D45" s="138"/>
      <x:c r="E45" s="138"/>
      <x:c r="F45" s="138"/>
      <x:c r="G45" s="138"/>
      <x:c r="H45" s="138"/>
      <x:c r="I45" s="138"/>
      <x:c r="J45" s="138"/>
      <x:c r="K45" s="138"/>
      <x:c r="L45" s="138"/>
      <x:c r="M45" s="138"/>
      <x:c r="N45" s="138"/>
      <x:c r="O45" s="138"/>
      <x:c r="P45" s="138"/>
      <x:c r="Q45" s="138"/>
      <x:c r="R45" s="138"/>
      <x:c r="S45" s="138"/>
      <x:c r="T45" s="138"/>
      <x:c r="U45" s="138"/>
      <x:c r="V45" s="138"/>
      <x:c r="W45" s="138"/>
      <x:c r="X45" s="138"/>
      <x:c r="Y45" s="138"/>
      <x:c r="Z45" s="138"/>
    </x:row>
    <x:row r="46">
      <x:c r="A46" s="138"/>
      <x:c r="B46" s="138"/>
      <x:c r="C46" s="138"/>
      <x:c r="D46" s="138"/>
      <x:c r="E46" s="138"/>
      <x:c r="F46" s="138"/>
      <x:c r="G46" s="138"/>
      <x:c r="H46" s="138"/>
      <x:c r="I46" s="138"/>
      <x:c r="J46" s="138"/>
      <x:c r="K46" s="138"/>
      <x:c r="L46" s="138"/>
      <x:c r="M46" s="138"/>
      <x:c r="N46" s="138"/>
      <x:c r="O46" s="138"/>
      <x:c r="P46" s="138"/>
      <x:c r="Q46" s="138"/>
      <x:c r="R46" s="138"/>
      <x:c r="S46" s="138"/>
      <x:c r="T46" s="138"/>
      <x:c r="U46" s="138"/>
      <x:c r="V46" s="138"/>
      <x:c r="W46" s="138"/>
      <x:c r="X46" s="138"/>
      <x:c r="Y46" s="138"/>
      <x:c r="Z46" s="138"/>
    </x:row>
    <x:row r="47">
      <x:c r="A47" s="138"/>
      <x:c r="B47" s="138"/>
      <x:c r="C47" s="138"/>
      <x:c r="D47" s="138"/>
      <x:c r="E47" s="138"/>
      <x:c r="F47" s="138"/>
      <x:c r="G47" s="138"/>
      <x:c r="H47" s="138"/>
      <x:c r="I47" s="138"/>
      <x:c r="J47" s="138"/>
      <x:c r="K47" s="138"/>
      <x:c r="L47" s="138"/>
      <x:c r="M47" s="138"/>
      <x:c r="N47" s="138"/>
      <x:c r="O47" s="138"/>
      <x:c r="P47" s="138"/>
      <x:c r="Q47" s="138"/>
      <x:c r="R47" s="138"/>
      <x:c r="S47" s="138"/>
      <x:c r="T47" s="138"/>
      <x:c r="U47" s="138"/>
      <x:c r="V47" s="138"/>
      <x:c r="W47" s="138"/>
      <x:c r="X47" s="138"/>
      <x:c r="Y47" s="138"/>
      <x:c r="Z47" s="138"/>
    </x:row>
    <x:row r="48">
      <x:c r="A48" s="138"/>
      <x:c r="B48" s="138"/>
      <x:c r="C48" s="138"/>
      <x:c r="D48" s="138"/>
      <x:c r="E48" s="138"/>
      <x:c r="F48" s="138"/>
      <x:c r="G48" s="138"/>
      <x:c r="H48" s="138"/>
      <x:c r="I48" s="138"/>
      <x:c r="J48" s="138"/>
      <x:c r="K48" s="138"/>
      <x:c r="L48" s="138"/>
      <x:c r="M48" s="138"/>
      <x:c r="N48" s="138"/>
      <x:c r="O48" s="138"/>
      <x:c r="P48" s="138"/>
      <x:c r="Q48" s="138"/>
      <x:c r="R48" s="138"/>
      <x:c r="S48" s="138"/>
      <x:c r="T48" s="138"/>
      <x:c r="U48" s="138"/>
      <x:c r="V48" s="138"/>
      <x:c r="W48" s="138"/>
      <x:c r="X48" s="138"/>
      <x:c r="Y48" s="138"/>
      <x:c r="Z48" s="138"/>
    </x:row>
    <x:row r="49">
      <x:c r="A49" s="138"/>
      <x:c r="B49" s="138"/>
      <x:c r="C49" s="138"/>
      <x:c r="D49" s="138"/>
      <x:c r="E49" s="138"/>
      <x:c r="F49" s="138"/>
      <x:c r="G49" s="138"/>
      <x:c r="H49" s="138"/>
      <x:c r="I49" s="138"/>
      <x:c r="J49" s="138"/>
      <x:c r="K49" s="138"/>
      <x:c r="L49" s="138"/>
      <x:c r="M49" s="138"/>
      <x:c r="N49" s="138"/>
      <x:c r="O49" s="138"/>
      <x:c r="P49" s="138"/>
      <x:c r="Q49" s="138"/>
      <x:c r="R49" s="138"/>
      <x:c r="S49" s="138"/>
      <x:c r="T49" s="138"/>
      <x:c r="U49" s="138"/>
      <x:c r="V49" s="138"/>
      <x:c r="W49" s="138"/>
      <x:c r="X49" s="138"/>
      <x:c r="Y49" s="138"/>
      <x:c r="Z49" s="138"/>
    </x:row>
    <x:row r="50">
      <x:c r="A50" s="138"/>
      <x:c r="B50" s="138"/>
      <x:c r="C50" s="138"/>
      <x:c r="D50" s="138"/>
      <x:c r="E50" s="138"/>
      <x:c r="F50" s="138"/>
      <x:c r="G50" s="138"/>
      <x:c r="H50" s="138"/>
      <x:c r="I50" s="138"/>
      <x:c r="J50" s="138"/>
      <x:c r="K50" s="138"/>
      <x:c r="L50" s="138"/>
      <x:c r="M50" s="138"/>
      <x:c r="N50" s="138"/>
      <x:c r="O50" s="138"/>
      <x:c r="P50" s="138"/>
      <x:c r="Q50" s="138"/>
      <x:c r="R50" s="138"/>
      <x:c r="S50" s="138"/>
      <x:c r="T50" s="138"/>
      <x:c r="U50" s="138"/>
      <x:c r="V50" s="138"/>
      <x:c r="W50" s="138"/>
      <x:c r="X50" s="138"/>
      <x:c r="Y50" s="138"/>
      <x:c r="Z50" s="138"/>
    </x:row>
    <x:row r="51">
      <x:c r="A51" s="138"/>
      <x:c r="B51" s="138"/>
      <x:c r="C51" s="138"/>
      <x:c r="D51" s="138"/>
      <x:c r="E51" s="138"/>
      <x:c r="F51" s="138"/>
      <x:c r="G51" s="138"/>
      <x:c r="H51" s="138"/>
      <x:c r="I51" s="138"/>
      <x:c r="J51" s="138"/>
      <x:c r="K51" s="138"/>
      <x:c r="L51" s="138"/>
      <x:c r="M51" s="138"/>
      <x:c r="N51" s="138"/>
      <x:c r="O51" s="138"/>
      <x:c r="P51" s="138"/>
      <x:c r="Q51" s="138"/>
      <x:c r="R51" s="138"/>
      <x:c r="S51" s="138"/>
      <x:c r="T51" s="138"/>
      <x:c r="U51" s="138"/>
      <x:c r="V51" s="138"/>
      <x:c r="W51" s="138"/>
      <x:c r="X51" s="138"/>
      <x:c r="Y51" s="138"/>
      <x:c r="Z51" s="138"/>
    </x:row>
    <x:row r="52">
      <x:c r="A52" s="138"/>
      <x:c r="B52" s="138"/>
      <x:c r="C52" s="138"/>
      <x:c r="D52" s="138"/>
      <x:c r="E52" s="138"/>
      <x:c r="F52" s="138"/>
      <x:c r="G52" s="138"/>
      <x:c r="H52" s="138"/>
      <x:c r="I52" s="138"/>
      <x:c r="J52" s="138"/>
      <x:c r="K52" s="138"/>
      <x:c r="L52" s="138"/>
      <x:c r="M52" s="138"/>
      <x:c r="N52" s="138"/>
      <x:c r="O52" s="138"/>
      <x:c r="P52" s="138"/>
      <x:c r="Q52" s="138"/>
      <x:c r="R52" s="138"/>
      <x:c r="S52" s="138"/>
      <x:c r="T52" s="138"/>
      <x:c r="U52" s="138"/>
      <x:c r="V52" s="138"/>
      <x:c r="W52" s="138"/>
      <x:c r="X52" s="138"/>
      <x:c r="Y52" s="138"/>
      <x:c r="Z52" s="138"/>
    </x:row>
    <x:row r="53">
      <x:c r="A53" s="138"/>
      <x:c r="B53" s="138"/>
      <x:c r="C53" s="138"/>
      <x:c r="D53" s="138"/>
      <x:c r="E53" s="138"/>
      <x:c r="F53" s="138"/>
      <x:c r="G53" s="138"/>
      <x:c r="H53" s="138"/>
      <x:c r="I53" s="138"/>
      <x:c r="J53" s="138"/>
      <x:c r="K53" s="138"/>
      <x:c r="L53" s="138"/>
      <x:c r="M53" s="138"/>
      <x:c r="N53" s="138"/>
      <x:c r="O53" s="138"/>
      <x:c r="P53" s="138"/>
      <x:c r="Q53" s="138"/>
      <x:c r="R53" s="138"/>
      <x:c r="S53" s="138"/>
      <x:c r="T53" s="138"/>
      <x:c r="U53" s="138"/>
      <x:c r="V53" s="138"/>
      <x:c r="W53" s="138"/>
      <x:c r="X53" s="138"/>
      <x:c r="Y53" s="138"/>
      <x:c r="Z53" s="138"/>
    </x:row>
    <x:row r="54">
      <x:c r="A54" s="138"/>
      <x:c r="B54" s="138"/>
      <x:c r="C54" s="138"/>
      <x:c r="D54" s="138"/>
      <x:c r="E54" s="138"/>
      <x:c r="F54" s="138"/>
      <x:c r="G54" s="138"/>
      <x:c r="H54" s="138"/>
      <x:c r="I54" s="138"/>
      <x:c r="J54" s="138"/>
      <x:c r="K54" s="138"/>
      <x:c r="L54" s="138"/>
      <x:c r="M54" s="138"/>
      <x:c r="N54" s="138"/>
      <x:c r="O54" s="138"/>
      <x:c r="P54" s="138"/>
      <x:c r="Q54" s="138"/>
      <x:c r="R54" s="138"/>
      <x:c r="S54" s="138"/>
      <x:c r="T54" s="138"/>
      <x:c r="U54" s="138"/>
      <x:c r="V54" s="138"/>
      <x:c r="W54" s="138"/>
      <x:c r="X54" s="138"/>
      <x:c r="Y54" s="138"/>
      <x:c r="Z54" s="138"/>
    </x:row>
    <x:row r="55">
      <x:c r="A55" s="138"/>
      <x:c r="B55" s="138"/>
      <x:c r="C55" s="138"/>
      <x:c r="D55" s="138"/>
      <x:c r="E55" s="138"/>
      <x:c r="F55" s="138"/>
      <x:c r="G55" s="138"/>
      <x:c r="H55" s="138"/>
      <x:c r="I55" s="138"/>
      <x:c r="J55" s="138"/>
      <x:c r="K55" s="138"/>
      <x:c r="L55" s="138"/>
      <x:c r="M55" s="138"/>
      <x:c r="N55" s="138"/>
      <x:c r="O55" s="138"/>
      <x:c r="P55" s="138"/>
      <x:c r="Q55" s="138"/>
      <x:c r="R55" s="138"/>
      <x:c r="S55" s="138"/>
      <x:c r="T55" s="138"/>
      <x:c r="U55" s="138"/>
      <x:c r="V55" s="138"/>
      <x:c r="W55" s="138"/>
      <x:c r="X55" s="138"/>
      <x:c r="Y55" s="138"/>
      <x:c r="Z55" s="138"/>
    </x:row>
    <x:row r="56">
      <x:c r="A56" s="138"/>
      <x:c r="B56" s="138"/>
      <x:c r="C56" s="138"/>
      <x:c r="D56" s="138"/>
      <x:c r="E56" s="138"/>
      <x:c r="F56" s="138"/>
      <x:c r="G56" s="138"/>
      <x:c r="H56" s="138"/>
      <x:c r="I56" s="138"/>
      <x:c r="J56" s="138"/>
      <x:c r="K56" s="138"/>
      <x:c r="L56" s="138"/>
      <x:c r="M56" s="138"/>
      <x:c r="N56" s="138"/>
      <x:c r="O56" s="138"/>
      <x:c r="P56" s="138"/>
      <x:c r="Q56" s="138"/>
      <x:c r="R56" s="138"/>
      <x:c r="S56" s="138"/>
      <x:c r="T56" s="138"/>
      <x:c r="U56" s="138"/>
      <x:c r="V56" s="138"/>
      <x:c r="W56" s="138"/>
      <x:c r="X56" s="138"/>
      <x:c r="Y56" s="138"/>
      <x:c r="Z56" s="138"/>
    </x:row>
    <x:row r="57">
      <x:c r="A57" s="138"/>
      <x:c r="B57" s="138"/>
      <x:c r="C57" s="138"/>
      <x:c r="D57" s="138"/>
      <x:c r="E57" s="138"/>
      <x:c r="F57" s="138"/>
      <x:c r="G57" s="138"/>
      <x:c r="H57" s="138"/>
      <x:c r="I57" s="138"/>
      <x:c r="J57" s="138"/>
      <x:c r="K57" s="138"/>
      <x:c r="L57" s="138"/>
      <x:c r="M57" s="138"/>
      <x:c r="N57" s="138"/>
      <x:c r="O57" s="138"/>
      <x:c r="P57" s="138"/>
      <x:c r="Q57" s="138"/>
      <x:c r="R57" s="138"/>
      <x:c r="S57" s="138"/>
      <x:c r="T57" s="138"/>
      <x:c r="U57" s="138"/>
      <x:c r="V57" s="138"/>
      <x:c r="W57" s="138"/>
      <x:c r="X57" s="138"/>
      <x:c r="Y57" s="138"/>
      <x:c r="Z57" s="138"/>
    </x:row>
    <x:row r="58">
      <x:c r="A58" s="138"/>
      <x:c r="B58" s="138"/>
      <x:c r="C58" s="138"/>
      <x:c r="D58" s="138"/>
      <x:c r="E58" s="138"/>
      <x:c r="F58" s="138"/>
      <x:c r="G58" s="138"/>
      <x:c r="H58" s="138"/>
      <x:c r="I58" s="138"/>
      <x:c r="J58" s="138"/>
      <x:c r="K58" s="138"/>
      <x:c r="L58" s="138"/>
      <x:c r="M58" s="138"/>
      <x:c r="N58" s="138"/>
      <x:c r="O58" s="138"/>
      <x:c r="P58" s="138"/>
      <x:c r="Q58" s="138"/>
      <x:c r="R58" s="138"/>
      <x:c r="S58" s="138"/>
      <x:c r="T58" s="138"/>
      <x:c r="U58" s="138"/>
      <x:c r="V58" s="138"/>
      <x:c r="W58" s="138"/>
      <x:c r="X58" s="138"/>
      <x:c r="Y58" s="138"/>
      <x:c r="Z58" s="138"/>
    </x:row>
    <x:row r="59">
      <x:c r="A59" s="138"/>
      <x:c r="B59" s="138"/>
      <x:c r="C59" s="138"/>
      <x:c r="D59" s="138"/>
      <x:c r="E59" s="138"/>
      <x:c r="F59" s="138"/>
      <x:c r="G59" s="138"/>
      <x:c r="H59" s="138"/>
      <x:c r="I59" s="138"/>
      <x:c r="J59" s="138"/>
      <x:c r="K59" s="138"/>
      <x:c r="L59" s="138"/>
      <x:c r="M59" s="138"/>
      <x:c r="N59" s="138"/>
      <x:c r="O59" s="138"/>
      <x:c r="P59" s="138"/>
      <x:c r="Q59" s="138"/>
      <x:c r="R59" s="138"/>
      <x:c r="S59" s="138"/>
      <x:c r="T59" s="138"/>
      <x:c r="U59" s="138"/>
      <x:c r="V59" s="138"/>
      <x:c r="W59" s="138"/>
      <x:c r="X59" s="138"/>
      <x:c r="Y59" s="138"/>
      <x:c r="Z59" s="138"/>
    </x:row>
    <x:row r="60">
      <x:c r="A60" s="138"/>
      <x:c r="B60" s="138"/>
      <x:c r="C60" s="138"/>
      <x:c r="D60" s="138"/>
      <x:c r="E60" s="138"/>
      <x:c r="F60" s="138"/>
      <x:c r="G60" s="138"/>
      <x:c r="H60" s="138"/>
      <x:c r="I60" s="138"/>
      <x:c r="J60" s="138"/>
      <x:c r="K60" s="138"/>
      <x:c r="L60" s="138"/>
      <x:c r="M60" s="138"/>
      <x:c r="N60" s="138"/>
      <x:c r="O60" s="138"/>
      <x:c r="P60" s="138"/>
      <x:c r="Q60" s="138"/>
      <x:c r="R60" s="138"/>
      <x:c r="S60" s="138"/>
      <x:c r="T60" s="138"/>
      <x:c r="U60" s="138"/>
      <x:c r="V60" s="138"/>
      <x:c r="W60" s="138"/>
      <x:c r="X60" s="138"/>
      <x:c r="Y60" s="138"/>
      <x:c r="Z60" s="138"/>
    </x:row>
    <x:row r="61">
      <x:c r="A61" s="138"/>
      <x:c r="B61" s="138"/>
      <x:c r="C61" s="138"/>
      <x:c r="D61" s="138"/>
      <x:c r="E61" s="138"/>
      <x:c r="F61" s="138"/>
      <x:c r="G61" s="138"/>
      <x:c r="H61" s="138"/>
      <x:c r="I61" s="138"/>
      <x:c r="J61" s="138"/>
      <x:c r="K61" s="138"/>
      <x:c r="L61" s="138"/>
      <x:c r="M61" s="138"/>
      <x:c r="N61" s="138"/>
      <x:c r="O61" s="138"/>
      <x:c r="P61" s="138"/>
      <x:c r="Q61" s="138"/>
      <x:c r="R61" s="138"/>
      <x:c r="S61" s="138"/>
      <x:c r="T61" s="138"/>
      <x:c r="U61" s="138"/>
      <x:c r="V61" s="138"/>
      <x:c r="W61" s="138"/>
      <x:c r="X61" s="138"/>
      <x:c r="Y61" s="138"/>
      <x:c r="Z61" s="138"/>
    </x:row>
    <x:row r="62">
      <x:c r="A62" s="138"/>
      <x:c r="B62" s="138"/>
      <x:c r="C62" s="138"/>
      <x:c r="D62" s="138"/>
      <x:c r="E62" s="138"/>
      <x:c r="F62" s="138"/>
      <x:c r="G62" s="138"/>
      <x:c r="H62" s="138"/>
      <x:c r="I62" s="138"/>
      <x:c r="J62" s="138"/>
      <x:c r="K62" s="138"/>
      <x:c r="L62" s="138"/>
      <x:c r="M62" s="138"/>
      <x:c r="N62" s="138"/>
      <x:c r="O62" s="138"/>
      <x:c r="P62" s="138"/>
      <x:c r="Q62" s="138"/>
      <x:c r="R62" s="138"/>
      <x:c r="S62" s="138"/>
      <x:c r="T62" s="138"/>
      <x:c r="U62" s="138"/>
      <x:c r="V62" s="138"/>
      <x:c r="W62" s="138"/>
      <x:c r="X62" s="138"/>
      <x:c r="Y62" s="138"/>
      <x:c r="Z62" s="138"/>
    </x:row>
    <x:row r="63">
      <x:c r="A63" s="138"/>
      <x:c r="B63" s="138"/>
      <x:c r="C63" s="138"/>
      <x:c r="D63" s="138"/>
      <x:c r="E63" s="138"/>
      <x:c r="F63" s="138"/>
      <x:c r="G63" s="138"/>
      <x:c r="H63" s="138"/>
      <x:c r="I63" s="138"/>
      <x:c r="J63" s="138"/>
      <x:c r="K63" s="138"/>
      <x:c r="L63" s="138"/>
      <x:c r="M63" s="138"/>
      <x:c r="N63" s="138"/>
      <x:c r="O63" s="138"/>
      <x:c r="P63" s="138"/>
      <x:c r="Q63" s="138"/>
      <x:c r="R63" s="138"/>
      <x:c r="S63" s="138"/>
      <x:c r="T63" s="138"/>
      <x:c r="U63" s="138"/>
      <x:c r="V63" s="138"/>
      <x:c r="W63" s="138"/>
      <x:c r="X63" s="138"/>
      <x:c r="Y63" s="138"/>
      <x:c r="Z63" s="138"/>
    </x:row>
    <x:row r="64">
      <x:c r="A64" s="138"/>
      <x:c r="B64" s="138"/>
      <x:c r="C64" s="138"/>
      <x:c r="D64" s="138"/>
      <x:c r="E64" s="138"/>
      <x:c r="F64" s="138"/>
      <x:c r="G64" s="138"/>
      <x:c r="H64" s="138"/>
      <x:c r="I64" s="138"/>
      <x:c r="J64" s="138"/>
      <x:c r="K64" s="138"/>
      <x:c r="L64" s="138"/>
      <x:c r="M64" s="138"/>
      <x:c r="N64" s="138"/>
      <x:c r="O64" s="138"/>
      <x:c r="P64" s="138"/>
      <x:c r="Q64" s="138"/>
      <x:c r="R64" s="138"/>
      <x:c r="S64" s="138"/>
      <x:c r="T64" s="138"/>
      <x:c r="U64" s="138"/>
      <x:c r="V64" s="138"/>
      <x:c r="W64" s="138"/>
      <x:c r="X64" s="138"/>
      <x:c r="Y64" s="138"/>
      <x:c r="Z64" s="138"/>
    </x:row>
    <x:row r="65">
      <x:c r="A65" s="138"/>
      <x:c r="B65" s="138"/>
      <x:c r="C65" s="138"/>
      <x:c r="D65" s="138"/>
      <x:c r="E65" s="138"/>
      <x:c r="F65" s="138"/>
      <x:c r="G65" s="138"/>
      <x:c r="H65" s="138"/>
      <x:c r="I65" s="138"/>
      <x:c r="J65" s="138"/>
      <x:c r="K65" s="138"/>
      <x:c r="L65" s="138"/>
      <x:c r="M65" s="138"/>
      <x:c r="N65" s="138"/>
      <x:c r="O65" s="138"/>
      <x:c r="P65" s="138"/>
      <x:c r="Q65" s="138"/>
      <x:c r="R65" s="138"/>
      <x:c r="S65" s="138"/>
      <x:c r="T65" s="138"/>
      <x:c r="U65" s="138"/>
      <x:c r="V65" s="138"/>
      <x:c r="W65" s="138"/>
      <x:c r="X65" s="138"/>
      <x:c r="Y65" s="138"/>
      <x:c r="Z65" s="138"/>
    </x:row>
    <x:row r="66">
      <x:c r="A66" s="138"/>
      <x:c r="B66" s="138"/>
      <x:c r="C66" s="138"/>
      <x:c r="D66" s="138"/>
      <x:c r="E66" s="138"/>
      <x:c r="F66" s="138"/>
      <x:c r="G66" s="138"/>
      <x:c r="H66" s="138"/>
      <x:c r="I66" s="138"/>
      <x:c r="J66" s="138"/>
      <x:c r="K66" s="138"/>
      <x:c r="L66" s="138"/>
      <x:c r="M66" s="138"/>
      <x:c r="N66" s="138"/>
      <x:c r="O66" s="138"/>
      <x:c r="P66" s="138"/>
      <x:c r="Q66" s="138"/>
      <x:c r="R66" s="138"/>
      <x:c r="S66" s="138"/>
      <x:c r="T66" s="138"/>
      <x:c r="U66" s="138"/>
      <x:c r="V66" s="138"/>
      <x:c r="W66" s="138"/>
      <x:c r="X66" s="138"/>
      <x:c r="Y66" s="138"/>
      <x:c r="Z66" s="138"/>
    </x:row>
    <x:row r="67">
      <x:c r="A67" s="138"/>
      <x:c r="B67" s="138"/>
      <x:c r="C67" s="138"/>
      <x:c r="D67" s="138"/>
      <x:c r="E67" s="138"/>
      <x:c r="F67" s="138"/>
      <x:c r="G67" s="138"/>
      <x:c r="H67" s="138"/>
      <x:c r="I67" s="138"/>
      <x:c r="J67" s="138"/>
      <x:c r="K67" s="138"/>
      <x:c r="L67" s="138"/>
      <x:c r="M67" s="138"/>
      <x:c r="N67" s="138"/>
      <x:c r="O67" s="138"/>
      <x:c r="P67" s="138"/>
      <x:c r="Q67" s="138"/>
      <x:c r="R67" s="138"/>
      <x:c r="S67" s="138"/>
      <x:c r="T67" s="138"/>
      <x:c r="U67" s="138"/>
      <x:c r="V67" s="138"/>
      <x:c r="W67" s="138"/>
      <x:c r="X67" s="138"/>
      <x:c r="Y67" s="138"/>
      <x:c r="Z67" s="138"/>
    </x:row>
    <x:row r="68">
      <x:c r="A68" s="138"/>
      <x:c r="B68" s="138"/>
      <x:c r="C68" s="138"/>
      <x:c r="D68" s="138"/>
      <x:c r="E68" s="138"/>
      <x:c r="F68" s="138"/>
      <x:c r="G68" s="138"/>
      <x:c r="H68" s="138"/>
      <x:c r="I68" s="138"/>
      <x:c r="J68" s="138"/>
      <x:c r="K68" s="138"/>
      <x:c r="L68" s="138"/>
      <x:c r="M68" s="138"/>
      <x:c r="N68" s="138"/>
      <x:c r="O68" s="138"/>
      <x:c r="P68" s="138"/>
      <x:c r="Q68" s="138"/>
      <x:c r="R68" s="138"/>
      <x:c r="S68" s="138"/>
      <x:c r="T68" s="138"/>
      <x:c r="U68" s="138"/>
      <x:c r="V68" s="138"/>
      <x:c r="W68" s="138"/>
      <x:c r="X68" s="138"/>
      <x:c r="Y68" s="138"/>
      <x:c r="Z68" s="138"/>
    </x:row>
    <x:row r="69">
      <x:c r="A69" s="138"/>
      <x:c r="B69" s="138"/>
      <x:c r="C69" s="138"/>
      <x:c r="D69" s="138"/>
      <x:c r="E69" s="138"/>
      <x:c r="F69" s="138"/>
      <x:c r="G69" s="138"/>
      <x:c r="H69" s="138"/>
      <x:c r="I69" s="138"/>
      <x:c r="J69" s="138"/>
      <x:c r="K69" s="138"/>
      <x:c r="L69" s="138"/>
      <x:c r="M69" s="138"/>
      <x:c r="N69" s="138"/>
      <x:c r="O69" s="138"/>
      <x:c r="P69" s="138"/>
      <x:c r="Q69" s="138"/>
      <x:c r="R69" s="138"/>
      <x:c r="S69" s="138"/>
      <x:c r="T69" s="138"/>
      <x:c r="U69" s="138"/>
      <x:c r="V69" s="138"/>
      <x:c r="W69" s="138"/>
      <x:c r="X69" s="138"/>
      <x:c r="Y69" s="138"/>
      <x:c r="Z69" s="138"/>
    </x:row>
    <x:row r="70">
      <x:c r="A70" s="138"/>
      <x:c r="B70" s="138"/>
      <x:c r="C70" s="138"/>
      <x:c r="D70" s="138"/>
      <x:c r="E70" s="138"/>
      <x:c r="F70" s="138"/>
      <x:c r="G70" s="138"/>
      <x:c r="H70" s="138"/>
      <x:c r="I70" s="138"/>
      <x:c r="J70" s="138"/>
      <x:c r="K70" s="138"/>
      <x:c r="L70" s="138"/>
      <x:c r="M70" s="138"/>
      <x:c r="N70" s="138"/>
      <x:c r="O70" s="138"/>
      <x:c r="P70" s="138"/>
      <x:c r="Q70" s="138"/>
      <x:c r="R70" s="138"/>
      <x:c r="S70" s="138"/>
      <x:c r="T70" s="138"/>
      <x:c r="U70" s="138"/>
      <x:c r="V70" s="138"/>
      <x:c r="W70" s="138"/>
      <x:c r="X70" s="138"/>
      <x:c r="Y70" s="138"/>
      <x:c r="Z70" s="138"/>
    </x:row>
    <x:row r="71">
      <x:c r="A71" s="138"/>
      <x:c r="B71" s="138"/>
      <x:c r="C71" s="138"/>
      <x:c r="D71" s="138"/>
      <x:c r="E71" s="138"/>
      <x:c r="F71" s="138"/>
      <x:c r="G71" s="138"/>
      <x:c r="H71" s="138"/>
      <x:c r="I71" s="138"/>
      <x:c r="J71" s="138"/>
      <x:c r="K71" s="138"/>
      <x:c r="L71" s="138"/>
      <x:c r="M71" s="138"/>
      <x:c r="N71" s="138"/>
      <x:c r="O71" s="138"/>
      <x:c r="P71" s="138"/>
      <x:c r="Q71" s="138"/>
      <x:c r="R71" s="138"/>
      <x:c r="S71" s="138"/>
      <x:c r="T71" s="138"/>
      <x:c r="U71" s="138"/>
      <x:c r="V71" s="138"/>
      <x:c r="W71" s="138"/>
      <x:c r="X71" s="138"/>
      <x:c r="Y71" s="138"/>
      <x:c r="Z71" s="138"/>
    </x:row>
    <x:row r="72">
      <x:c r="A72" s="138"/>
      <x:c r="B72" s="138"/>
      <x:c r="C72" s="138"/>
      <x:c r="D72" s="138"/>
      <x:c r="E72" s="138"/>
      <x:c r="F72" s="138"/>
      <x:c r="G72" s="138"/>
      <x:c r="H72" s="138"/>
      <x:c r="I72" s="138"/>
      <x:c r="J72" s="138"/>
      <x:c r="K72" s="138"/>
      <x:c r="L72" s="138"/>
      <x:c r="M72" s="138"/>
      <x:c r="N72" s="138"/>
      <x:c r="O72" s="138"/>
      <x:c r="P72" s="138"/>
      <x:c r="Q72" s="138"/>
      <x:c r="R72" s="138"/>
      <x:c r="S72" s="138"/>
      <x:c r="T72" s="138"/>
      <x:c r="U72" s="138"/>
      <x:c r="V72" s="138"/>
      <x:c r="W72" s="138"/>
      <x:c r="X72" s="138"/>
      <x:c r="Y72" s="138"/>
      <x:c r="Z72" s="138"/>
    </x:row>
    <x:row r="73">
      <x:c r="A73" s="138"/>
      <x:c r="B73" s="138"/>
      <x:c r="C73" s="138"/>
      <x:c r="D73" s="138"/>
      <x:c r="E73" s="138"/>
      <x:c r="F73" s="138"/>
      <x:c r="G73" s="138"/>
      <x:c r="H73" s="138"/>
      <x:c r="I73" s="138"/>
      <x:c r="J73" s="138"/>
      <x:c r="K73" s="138"/>
      <x:c r="L73" s="138"/>
      <x:c r="M73" s="138"/>
      <x:c r="N73" s="138"/>
      <x:c r="O73" s="138"/>
      <x:c r="P73" s="138"/>
      <x:c r="Q73" s="138"/>
      <x:c r="R73" s="138"/>
      <x:c r="S73" s="138"/>
      <x:c r="T73" s="138"/>
      <x:c r="U73" s="138"/>
      <x:c r="V73" s="138"/>
      <x:c r="W73" s="138"/>
      <x:c r="X73" s="138"/>
      <x:c r="Y73" s="138"/>
      <x:c r="Z73" s="138"/>
    </x:row>
    <x:row r="74">
      <x:c r="A74" s="138"/>
      <x:c r="B74" s="138"/>
      <x:c r="C74" s="138"/>
      <x:c r="D74" s="138"/>
      <x:c r="E74" s="138"/>
      <x:c r="F74" s="138"/>
      <x:c r="G74" s="138"/>
      <x:c r="H74" s="138"/>
      <x:c r="I74" s="138"/>
      <x:c r="J74" s="138"/>
      <x:c r="K74" s="138"/>
      <x:c r="L74" s="138"/>
      <x:c r="M74" s="138"/>
      <x:c r="N74" s="138"/>
      <x:c r="O74" s="138"/>
      <x:c r="P74" s="138"/>
      <x:c r="Q74" s="138"/>
      <x:c r="R74" s="138"/>
      <x:c r="S74" s="138"/>
      <x:c r="T74" s="138"/>
      <x:c r="U74" s="138"/>
      <x:c r="V74" s="138"/>
      <x:c r="W74" s="138"/>
      <x:c r="X74" s="138"/>
      <x:c r="Y74" s="138"/>
      <x:c r="Z74" s="138"/>
    </x:row>
    <x:row r="75">
      <x:c r="A75" s="138"/>
      <x:c r="B75" s="138"/>
      <x:c r="C75" s="138"/>
      <x:c r="D75" s="138"/>
      <x:c r="E75" s="138"/>
      <x:c r="F75" s="138"/>
      <x:c r="G75" s="138"/>
      <x:c r="H75" s="138"/>
      <x:c r="I75" s="138"/>
      <x:c r="J75" s="138"/>
      <x:c r="K75" s="138"/>
      <x:c r="L75" s="138"/>
      <x:c r="M75" s="138"/>
      <x:c r="N75" s="138"/>
      <x:c r="O75" s="138"/>
      <x:c r="P75" s="138"/>
      <x:c r="Q75" s="138"/>
      <x:c r="R75" s="138"/>
      <x:c r="S75" s="138"/>
      <x:c r="T75" s="138"/>
      <x:c r="U75" s="138"/>
      <x:c r="V75" s="138"/>
      <x:c r="W75" s="138"/>
      <x:c r="X75" s="138"/>
      <x:c r="Y75" s="138"/>
      <x:c r="Z75" s="138"/>
    </x:row>
    <x:row r="76">
      <x:c r="A76" s="138"/>
      <x:c r="B76" s="138"/>
      <x:c r="C76" s="138"/>
      <x:c r="D76" s="138"/>
      <x:c r="E76" s="138"/>
      <x:c r="F76" s="138"/>
      <x:c r="G76" s="138"/>
      <x:c r="H76" s="138"/>
      <x:c r="I76" s="138"/>
      <x:c r="J76" s="138"/>
      <x:c r="K76" s="138"/>
      <x:c r="L76" s="138"/>
      <x:c r="M76" s="138"/>
      <x:c r="N76" s="138"/>
      <x:c r="O76" s="138"/>
      <x:c r="P76" s="138"/>
      <x:c r="Q76" s="138"/>
      <x:c r="R76" s="138"/>
      <x:c r="S76" s="138"/>
      <x:c r="T76" s="138"/>
      <x:c r="U76" s="138"/>
      <x:c r="V76" s="138"/>
      <x:c r="W76" s="138"/>
      <x:c r="X76" s="138"/>
      <x:c r="Y76" s="138"/>
      <x:c r="Z76" s="138"/>
    </x:row>
    <x:row r="77">
      <x:c r="A77" s="138"/>
      <x:c r="B77" s="138"/>
      <x:c r="C77" s="138"/>
      <x:c r="D77" s="138"/>
      <x:c r="E77" s="138"/>
      <x:c r="F77" s="138"/>
      <x:c r="G77" s="138"/>
      <x:c r="H77" s="138"/>
      <x:c r="I77" s="138"/>
      <x:c r="J77" s="138"/>
      <x:c r="K77" s="138"/>
      <x:c r="L77" s="138"/>
      <x:c r="M77" s="138"/>
      <x:c r="N77" s="138"/>
      <x:c r="O77" s="138"/>
      <x:c r="P77" s="138"/>
      <x:c r="Q77" s="138"/>
      <x:c r="R77" s="138"/>
      <x:c r="S77" s="138"/>
      <x:c r="T77" s="138"/>
      <x:c r="U77" s="138"/>
      <x:c r="V77" s="138"/>
      <x:c r="W77" s="138"/>
      <x:c r="X77" s="138"/>
      <x:c r="Y77" s="138"/>
      <x:c r="Z77" s="138"/>
    </x:row>
    <x:row r="78">
      <x:c r="A78" s="138"/>
      <x:c r="B78" s="138"/>
      <x:c r="C78" s="138"/>
      <x:c r="D78" s="138"/>
      <x:c r="E78" s="138"/>
      <x:c r="F78" s="138"/>
      <x:c r="G78" s="138"/>
      <x:c r="H78" s="138"/>
      <x:c r="I78" s="138"/>
      <x:c r="J78" s="138"/>
      <x:c r="K78" s="138"/>
      <x:c r="L78" s="138"/>
      <x:c r="M78" s="138"/>
      <x:c r="N78" s="138"/>
      <x:c r="O78" s="138"/>
      <x:c r="P78" s="138"/>
      <x:c r="Q78" s="138"/>
      <x:c r="R78" s="138"/>
      <x:c r="S78" s="138"/>
      <x:c r="T78" s="138"/>
      <x:c r="U78" s="138"/>
      <x:c r="V78" s="138"/>
      <x:c r="W78" s="138"/>
      <x:c r="X78" s="138"/>
      <x:c r="Y78" s="138"/>
      <x:c r="Z78" s="138"/>
    </x:row>
    <x:row r="79">
      <x:c r="A79" s="138"/>
      <x:c r="B79" s="138"/>
      <x:c r="C79" s="138"/>
      <x:c r="D79" s="138"/>
      <x:c r="E79" s="138"/>
      <x:c r="F79" s="138"/>
      <x:c r="G79" s="138"/>
      <x:c r="H79" s="138"/>
      <x:c r="I79" s="138"/>
      <x:c r="J79" s="138"/>
      <x:c r="K79" s="138"/>
      <x:c r="L79" s="138"/>
      <x:c r="M79" s="138"/>
      <x:c r="N79" s="138"/>
      <x:c r="O79" s="138"/>
      <x:c r="P79" s="138"/>
      <x:c r="Q79" s="138"/>
      <x:c r="R79" s="138"/>
      <x:c r="S79" s="138"/>
      <x:c r="T79" s="138"/>
      <x:c r="U79" s="138"/>
      <x:c r="V79" s="138"/>
      <x:c r="W79" s="138"/>
      <x:c r="X79" s="138"/>
      <x:c r="Y79" s="138"/>
      <x:c r="Z79" s="138"/>
    </x:row>
    <x:row r="80">
      <x:c r="A80" s="138"/>
      <x:c r="B80" s="138"/>
      <x:c r="C80" s="138"/>
      <x:c r="D80" s="138"/>
      <x:c r="E80" s="138"/>
      <x:c r="F80" s="138"/>
      <x:c r="G80" s="138"/>
      <x:c r="H80" s="138"/>
      <x:c r="I80" s="138"/>
      <x:c r="J80" s="138"/>
      <x:c r="K80" s="138"/>
      <x:c r="L80" s="138"/>
      <x:c r="M80" s="138"/>
      <x:c r="N80" s="138"/>
      <x:c r="O80" s="138"/>
      <x:c r="P80" s="138"/>
      <x:c r="Q80" s="138"/>
      <x:c r="R80" s="138"/>
      <x:c r="S80" s="138"/>
      <x:c r="T80" s="138"/>
      <x:c r="U80" s="138"/>
      <x:c r="V80" s="138"/>
      <x:c r="W80" s="138"/>
      <x:c r="X80" s="138"/>
      <x:c r="Y80" s="138"/>
      <x:c r="Z80" s="138"/>
    </x:row>
    <x:row r="81">
      <x:c r="A81" s="138"/>
      <x:c r="B81" s="138"/>
      <x:c r="C81" s="138"/>
      <x:c r="D81" s="138"/>
      <x:c r="E81" s="138"/>
      <x:c r="F81" s="138"/>
      <x:c r="G81" s="138"/>
      <x:c r="H81" s="138"/>
      <x:c r="I81" s="138"/>
      <x:c r="J81" s="138"/>
      <x:c r="K81" s="138"/>
      <x:c r="L81" s="138"/>
      <x:c r="M81" s="138"/>
      <x:c r="N81" s="138"/>
      <x:c r="O81" s="138"/>
      <x:c r="P81" s="138"/>
      <x:c r="Q81" s="138"/>
      <x:c r="R81" s="138"/>
      <x:c r="S81" s="138"/>
      <x:c r="T81" s="138"/>
      <x:c r="U81" s="138"/>
      <x:c r="V81" s="138"/>
      <x:c r="W81" s="138"/>
      <x:c r="X81" s="138"/>
      <x:c r="Y81" s="138"/>
      <x:c r="Z81" s="138"/>
    </x:row>
    <x:row r="82">
      <x:c r="A82" s="138"/>
      <x:c r="B82" s="138"/>
      <x:c r="C82" s="138"/>
      <x:c r="D82" s="138"/>
      <x:c r="E82" s="138"/>
      <x:c r="F82" s="138"/>
      <x:c r="G82" s="138"/>
      <x:c r="H82" s="138"/>
      <x:c r="I82" s="138"/>
      <x:c r="J82" s="138"/>
      <x:c r="K82" s="138"/>
      <x:c r="L82" s="138"/>
      <x:c r="M82" s="138"/>
      <x:c r="N82" s="138"/>
      <x:c r="O82" s="138"/>
      <x:c r="P82" s="138"/>
      <x:c r="Q82" s="138"/>
      <x:c r="R82" s="138"/>
      <x:c r="S82" s="138"/>
      <x:c r="T82" s="138"/>
      <x:c r="U82" s="138"/>
      <x:c r="V82" s="138"/>
      <x:c r="W82" s="138"/>
      <x:c r="X82" s="138"/>
      <x:c r="Y82" s="138"/>
      <x:c r="Z82" s="138"/>
    </x:row>
    <x:row r="83">
      <x:c r="A83" s="138"/>
      <x:c r="B83" s="138"/>
      <x:c r="C83" s="138"/>
      <x:c r="D83" s="138"/>
      <x:c r="E83" s="138"/>
      <x:c r="F83" s="138"/>
      <x:c r="G83" s="138"/>
      <x:c r="H83" s="138"/>
      <x:c r="I83" s="138"/>
      <x:c r="J83" s="138"/>
      <x:c r="K83" s="138"/>
      <x:c r="L83" s="138"/>
      <x:c r="M83" s="138"/>
      <x:c r="N83" s="138"/>
      <x:c r="O83" s="138"/>
      <x:c r="P83" s="138"/>
      <x:c r="Q83" s="138"/>
      <x:c r="R83" s="138"/>
      <x:c r="S83" s="138"/>
      <x:c r="T83" s="138"/>
      <x:c r="U83" s="138"/>
      <x:c r="V83" s="138"/>
      <x:c r="W83" s="138"/>
      <x:c r="X83" s="138"/>
      <x:c r="Y83" s="138"/>
      <x:c r="Z83" s="138"/>
    </x:row>
    <x:row r="84">
      <x:c r="A84" s="138"/>
      <x:c r="B84" s="138"/>
      <x:c r="C84" s="138"/>
      <x:c r="D84" s="138"/>
      <x:c r="E84" s="138"/>
      <x:c r="F84" s="138"/>
      <x:c r="G84" s="138"/>
      <x:c r="H84" s="138"/>
      <x:c r="I84" s="138"/>
      <x:c r="J84" s="138"/>
      <x:c r="K84" s="138"/>
      <x:c r="L84" s="138"/>
      <x:c r="M84" s="138"/>
      <x:c r="N84" s="138"/>
      <x:c r="O84" s="138"/>
      <x:c r="P84" s="138"/>
      <x:c r="Q84" s="138"/>
      <x:c r="R84" s="138"/>
      <x:c r="S84" s="138"/>
      <x:c r="T84" s="138"/>
      <x:c r="U84" s="138"/>
      <x:c r="V84" s="138"/>
      <x:c r="W84" s="138"/>
      <x:c r="X84" s="138"/>
      <x:c r="Y84" s="138"/>
      <x:c r="Z84" s="138"/>
    </x:row>
    <x:row r="85">
      <x:c r="A85" s="138"/>
      <x:c r="B85" s="138"/>
      <x:c r="C85" s="138"/>
      <x:c r="D85" s="138"/>
      <x:c r="E85" s="138"/>
      <x:c r="F85" s="138"/>
      <x:c r="G85" s="138"/>
      <x:c r="H85" s="138"/>
      <x:c r="I85" s="138"/>
      <x:c r="J85" s="138"/>
      <x:c r="K85" s="138"/>
      <x:c r="L85" s="138"/>
      <x:c r="M85" s="138"/>
      <x:c r="N85" s="138"/>
      <x:c r="O85" s="138"/>
      <x:c r="P85" s="138"/>
      <x:c r="Q85" s="138"/>
      <x:c r="R85" s="138"/>
      <x:c r="S85" s="138"/>
      <x:c r="T85" s="138"/>
      <x:c r="U85" s="138"/>
      <x:c r="V85" s="138"/>
      <x:c r="W85" s="138"/>
      <x:c r="X85" s="138"/>
      <x:c r="Y85" s="138"/>
      <x:c r="Z85" s="138"/>
    </x:row>
    <x:row r="86">
      <x:c r="A86" s="138"/>
      <x:c r="B86" s="138"/>
      <x:c r="C86" s="138"/>
      <x:c r="D86" s="138"/>
      <x:c r="E86" s="138"/>
      <x:c r="F86" s="138"/>
      <x:c r="G86" s="138"/>
      <x:c r="H86" s="138"/>
      <x:c r="I86" s="138"/>
      <x:c r="J86" s="138"/>
      <x:c r="K86" s="138"/>
      <x:c r="L86" s="138"/>
      <x:c r="M86" s="138"/>
      <x:c r="N86" s="138"/>
      <x:c r="O86" s="138"/>
      <x:c r="P86" s="138"/>
      <x:c r="Q86" s="138"/>
      <x:c r="R86" s="138"/>
      <x:c r="S86" s="138"/>
      <x:c r="T86" s="138"/>
      <x:c r="U86" s="138"/>
      <x:c r="V86" s="138"/>
      <x:c r="W86" s="138"/>
      <x:c r="X86" s="138"/>
      <x:c r="Y86" s="138"/>
      <x:c r="Z86" s="138"/>
    </x:row>
    <x:row r="87">
      <x:c r="A87" s="138"/>
      <x:c r="B87" s="138"/>
      <x:c r="C87" s="138"/>
      <x:c r="D87" s="138"/>
      <x:c r="E87" s="138"/>
      <x:c r="F87" s="138"/>
      <x:c r="G87" s="138"/>
      <x:c r="H87" s="138"/>
      <x:c r="I87" s="138"/>
      <x:c r="J87" s="138"/>
      <x:c r="K87" s="138"/>
      <x:c r="L87" s="138"/>
      <x:c r="M87" s="138"/>
      <x:c r="N87" s="138"/>
      <x:c r="O87" s="138"/>
      <x:c r="P87" s="138"/>
      <x:c r="Q87" s="138"/>
      <x:c r="R87" s="138"/>
      <x:c r="S87" s="138"/>
      <x:c r="T87" s="138"/>
      <x:c r="U87" s="138"/>
      <x:c r="V87" s="138"/>
      <x:c r="W87" s="138"/>
      <x:c r="X87" s="138"/>
      <x:c r="Y87" s="138"/>
      <x:c r="Z87" s="138"/>
    </x:row>
    <x:row r="88">
      <x:c r="A88" s="138"/>
      <x:c r="B88" s="138"/>
      <x:c r="C88" s="138"/>
      <x:c r="D88" s="138"/>
      <x:c r="E88" s="138"/>
      <x:c r="F88" s="138"/>
      <x:c r="G88" s="138"/>
      <x:c r="H88" s="138"/>
      <x:c r="I88" s="138"/>
      <x:c r="J88" s="138"/>
      <x:c r="K88" s="138"/>
      <x:c r="L88" s="138"/>
      <x:c r="M88" s="138"/>
      <x:c r="N88" s="138"/>
      <x:c r="O88" s="138"/>
      <x:c r="P88" s="138"/>
      <x:c r="Q88" s="138"/>
      <x:c r="R88" s="138"/>
      <x:c r="S88" s="138"/>
      <x:c r="T88" s="138"/>
      <x:c r="U88" s="138"/>
      <x:c r="V88" s="138"/>
      <x:c r="W88" s="138"/>
      <x:c r="X88" s="138"/>
      <x:c r="Y88" s="138"/>
      <x:c r="Z88" s="138"/>
    </x:row>
    <x:row r="89">
      <x:c r="A89" s="138"/>
      <x:c r="B89" s="138"/>
      <x:c r="C89" s="138"/>
      <x:c r="D89" s="138"/>
      <x:c r="E89" s="138"/>
      <x:c r="F89" s="138"/>
      <x:c r="G89" s="138"/>
      <x:c r="H89" s="138"/>
      <x:c r="I89" s="138"/>
      <x:c r="J89" s="138"/>
      <x:c r="K89" s="138"/>
      <x:c r="L89" s="138"/>
      <x:c r="M89" s="138"/>
      <x:c r="N89" s="138"/>
      <x:c r="O89" s="138"/>
      <x:c r="P89" s="138"/>
      <x:c r="Q89" s="138"/>
      <x:c r="R89" s="138"/>
      <x:c r="S89" s="138"/>
      <x:c r="T89" s="138"/>
      <x:c r="U89" s="138"/>
      <x:c r="V89" s="138"/>
      <x:c r="W89" s="138"/>
      <x:c r="X89" s="138"/>
      <x:c r="Y89" s="138"/>
      <x:c r="Z89" s="138"/>
    </x:row>
    <x:row r="90">
      <x:c r="A90" s="138"/>
      <x:c r="B90" s="138"/>
      <x:c r="C90" s="138"/>
      <x:c r="D90" s="138"/>
      <x:c r="E90" s="138"/>
      <x:c r="F90" s="138"/>
      <x:c r="G90" s="138"/>
      <x:c r="H90" s="138"/>
      <x:c r="I90" s="138"/>
      <x:c r="J90" s="138"/>
      <x:c r="K90" s="138"/>
      <x:c r="L90" s="138"/>
      <x:c r="M90" s="138"/>
      <x:c r="N90" s="138"/>
      <x:c r="O90" s="138"/>
      <x:c r="P90" s="138"/>
      <x:c r="Q90" s="138"/>
      <x:c r="R90" s="138"/>
      <x:c r="S90" s="138"/>
      <x:c r="T90" s="138"/>
      <x:c r="U90" s="138"/>
      <x:c r="V90" s="138"/>
      <x:c r="W90" s="138"/>
      <x:c r="X90" s="138"/>
      <x:c r="Y90" s="138"/>
      <x:c r="Z90" s="138"/>
    </x:row>
    <x:row r="91">
      <x:c r="A91" s="138"/>
      <x:c r="B91" s="138"/>
      <x:c r="C91" s="138"/>
      <x:c r="D91" s="138"/>
      <x:c r="E91" s="138"/>
      <x:c r="F91" s="138"/>
      <x:c r="G91" s="138"/>
      <x:c r="H91" s="138"/>
      <x:c r="I91" s="138"/>
      <x:c r="J91" s="138"/>
      <x:c r="K91" s="138"/>
      <x:c r="L91" s="138"/>
      <x:c r="M91" s="138"/>
      <x:c r="N91" s="138"/>
      <x:c r="O91" s="138"/>
      <x:c r="P91" s="138"/>
      <x:c r="Q91" s="138"/>
      <x:c r="R91" s="138"/>
      <x:c r="S91" s="138"/>
      <x:c r="T91" s="138"/>
      <x:c r="U91" s="138"/>
      <x:c r="V91" s="138"/>
      <x:c r="W91" s="138"/>
      <x:c r="X91" s="138"/>
      <x:c r="Y91" s="138"/>
      <x:c r="Z91" s="138"/>
    </x:row>
    <x:row r="92">
      <x:c r="A92" s="138"/>
      <x:c r="B92" s="138"/>
      <x:c r="C92" s="138"/>
      <x:c r="D92" s="138"/>
      <x:c r="E92" s="138"/>
      <x:c r="F92" s="138"/>
      <x:c r="G92" s="138"/>
      <x:c r="H92" s="138"/>
      <x:c r="I92" s="138"/>
      <x:c r="J92" s="138"/>
      <x:c r="K92" s="138"/>
      <x:c r="L92" s="138"/>
      <x:c r="M92" s="138"/>
      <x:c r="N92" s="138"/>
      <x:c r="O92" s="138"/>
      <x:c r="P92" s="138"/>
      <x:c r="Q92" s="138"/>
      <x:c r="R92" s="138"/>
      <x:c r="S92" s="138"/>
      <x:c r="T92" s="138"/>
      <x:c r="U92" s="138"/>
      <x:c r="V92" s="138"/>
      <x:c r="W92" s="138"/>
      <x:c r="X92" s="138"/>
      <x:c r="Y92" s="138"/>
      <x:c r="Z92" s="138"/>
    </x:row>
    <x:row r="93">
      <x:c r="A93" s="138"/>
      <x:c r="B93" s="138"/>
      <x:c r="C93" s="138"/>
      <x:c r="D93" s="138"/>
      <x:c r="E93" s="138"/>
      <x:c r="F93" s="138"/>
      <x:c r="G93" s="138"/>
      <x:c r="H93" s="138"/>
      <x:c r="I93" s="138"/>
      <x:c r="J93" s="138"/>
      <x:c r="K93" s="138"/>
      <x:c r="L93" s="138"/>
      <x:c r="M93" s="138"/>
      <x:c r="N93" s="138"/>
      <x:c r="O93" s="138"/>
      <x:c r="P93" s="138"/>
      <x:c r="Q93" s="138"/>
      <x:c r="R93" s="138"/>
      <x:c r="S93" s="138"/>
      <x:c r="T93" s="138"/>
      <x:c r="U93" s="138"/>
      <x:c r="V93" s="138"/>
      <x:c r="W93" s="138"/>
      <x:c r="X93" s="138"/>
      <x:c r="Y93" s="138"/>
      <x:c r="Z93" s="138"/>
    </x:row>
    <x:row r="94">
      <x:c r="A94" s="138"/>
      <x:c r="B94" s="138"/>
      <x:c r="C94" s="138"/>
      <x:c r="D94" s="138"/>
      <x:c r="E94" s="138"/>
      <x:c r="F94" s="138"/>
      <x:c r="G94" s="138"/>
      <x:c r="H94" s="138"/>
      <x:c r="I94" s="138"/>
      <x:c r="J94" s="138"/>
      <x:c r="K94" s="138"/>
      <x:c r="L94" s="138"/>
      <x:c r="M94" s="138"/>
      <x:c r="N94" s="138"/>
      <x:c r="O94" s="138"/>
      <x:c r="P94" s="138"/>
      <x:c r="Q94" s="138"/>
      <x:c r="R94" s="138"/>
      <x:c r="S94" s="138"/>
      <x:c r="T94" s="138"/>
      <x:c r="U94" s="138"/>
      <x:c r="V94" s="138"/>
      <x:c r="W94" s="138"/>
      <x:c r="X94" s="138"/>
      <x:c r="Y94" s="138"/>
      <x:c r="Z94" s="138"/>
    </x:row>
    <x:row r="95">
      <x:c r="A95" s="138"/>
      <x:c r="B95" s="138"/>
      <x:c r="C95" s="138"/>
      <x:c r="D95" s="138"/>
      <x:c r="E95" s="138"/>
      <x:c r="F95" s="138"/>
      <x:c r="G95" s="138"/>
      <x:c r="H95" s="138"/>
      <x:c r="I95" s="138"/>
      <x:c r="J95" s="138"/>
      <x:c r="K95" s="138"/>
      <x:c r="L95" s="138"/>
      <x:c r="M95" s="138"/>
      <x:c r="N95" s="138"/>
      <x:c r="O95" s="138"/>
      <x:c r="P95" s="138"/>
      <x:c r="Q95" s="138"/>
      <x:c r="R95" s="138"/>
      <x:c r="S95" s="138"/>
      <x:c r="T95" s="138"/>
      <x:c r="U95" s="138"/>
      <x:c r="V95" s="138"/>
      <x:c r="W95" s="138"/>
      <x:c r="X95" s="138"/>
      <x:c r="Y95" s="138"/>
      <x:c r="Z95" s="138"/>
    </x:row>
    <x:row r="96">
      <x:c r="A96" s="138"/>
      <x:c r="B96" s="138"/>
      <x:c r="C96" s="138"/>
      <x:c r="D96" s="138"/>
      <x:c r="E96" s="138"/>
      <x:c r="F96" s="138"/>
      <x:c r="G96" s="138"/>
      <x:c r="H96" s="138"/>
      <x:c r="I96" s="138"/>
      <x:c r="J96" s="138"/>
      <x:c r="K96" s="138"/>
      <x:c r="L96" s="138"/>
      <x:c r="M96" s="138"/>
      <x:c r="N96" s="138"/>
      <x:c r="O96" s="138"/>
      <x:c r="P96" s="138"/>
      <x:c r="Q96" s="138"/>
      <x:c r="R96" s="138"/>
      <x:c r="S96" s="138"/>
      <x:c r="T96" s="138"/>
      <x:c r="U96" s="138"/>
      <x:c r="V96" s="138"/>
      <x:c r="W96" s="138"/>
      <x:c r="X96" s="138"/>
      <x:c r="Y96" s="138"/>
      <x:c r="Z96" s="138"/>
    </x:row>
    <x:row r="97">
      <x:c r="A97" s="138"/>
      <x:c r="B97" s="138"/>
      <x:c r="C97" s="138"/>
      <x:c r="D97" s="138"/>
      <x:c r="E97" s="138"/>
      <x:c r="F97" s="138"/>
      <x:c r="G97" s="138"/>
      <x:c r="H97" s="138"/>
      <x:c r="I97" s="138"/>
      <x:c r="J97" s="138"/>
      <x:c r="K97" s="138"/>
      <x:c r="L97" s="138"/>
      <x:c r="M97" s="138"/>
      <x:c r="N97" s="138"/>
      <x:c r="O97" s="138"/>
      <x:c r="P97" s="138"/>
      <x:c r="Q97" s="138"/>
      <x:c r="R97" s="138"/>
      <x:c r="S97" s="138"/>
      <x:c r="T97" s="138"/>
      <x:c r="U97" s="138"/>
      <x:c r="V97" s="138"/>
      <x:c r="W97" s="138"/>
      <x:c r="X97" s="138"/>
      <x:c r="Y97" s="138"/>
      <x:c r="Z97" s="138"/>
    </x:row>
    <x:row r="98">
      <x:c r="A98" s="138"/>
      <x:c r="B98" s="138"/>
      <x:c r="C98" s="138"/>
      <x:c r="D98" s="138"/>
      <x:c r="E98" s="138"/>
      <x:c r="F98" s="138"/>
      <x:c r="G98" s="138"/>
      <x:c r="H98" s="138"/>
      <x:c r="I98" s="138"/>
      <x:c r="J98" s="138"/>
      <x:c r="K98" s="138"/>
      <x:c r="L98" s="138"/>
      <x:c r="M98" s="138"/>
      <x:c r="N98" s="138"/>
      <x:c r="O98" s="138"/>
      <x:c r="P98" s="138"/>
      <x:c r="Q98" s="138"/>
      <x:c r="R98" s="138"/>
      <x:c r="S98" s="138"/>
      <x:c r="T98" s="138"/>
      <x:c r="U98" s="138"/>
      <x:c r="V98" s="138"/>
      <x:c r="W98" s="138"/>
      <x:c r="X98" s="138"/>
      <x:c r="Y98" s="138"/>
      <x:c r="Z98" s="138"/>
    </x:row>
    <x:row r="99">
      <x:c r="A99" s="138"/>
      <x:c r="B99" s="138"/>
      <x:c r="C99" s="138"/>
      <x:c r="D99" s="138"/>
      <x:c r="E99" s="138"/>
      <x:c r="F99" s="138"/>
      <x:c r="G99" s="138"/>
      <x:c r="H99" s="138"/>
      <x:c r="I99" s="138"/>
      <x:c r="J99" s="138"/>
      <x:c r="K99" s="138"/>
      <x:c r="L99" s="138"/>
      <x:c r="M99" s="138"/>
      <x:c r="N99" s="138"/>
      <x:c r="O99" s="138"/>
      <x:c r="P99" s="138"/>
      <x:c r="Q99" s="138"/>
      <x:c r="R99" s="138"/>
      <x:c r="S99" s="138"/>
      <x:c r="T99" s="138"/>
      <x:c r="U99" s="138"/>
      <x:c r="V99" s="138"/>
      <x:c r="W99" s="138"/>
      <x:c r="X99" s="138"/>
      <x:c r="Y99" s="138"/>
      <x:c r="Z99" s="138"/>
    </x:row>
    <x:row r="100">
      <x:c r="A100" s="138"/>
      <x:c r="B100" s="138"/>
      <x:c r="C100" s="138"/>
      <x:c r="D100" s="138"/>
      <x:c r="E100" s="138"/>
      <x:c r="F100" s="138"/>
      <x:c r="G100" s="138"/>
      <x:c r="H100" s="138"/>
      <x:c r="I100" s="138"/>
      <x:c r="J100" s="138"/>
      <x:c r="K100" s="138"/>
      <x:c r="L100" s="138"/>
      <x:c r="M100" s="138"/>
      <x:c r="N100" s="138"/>
      <x:c r="O100" s="138"/>
      <x:c r="P100" s="138"/>
      <x:c r="Q100" s="138"/>
      <x:c r="R100" s="138"/>
      <x:c r="S100" s="138"/>
      <x:c r="T100" s="138"/>
      <x:c r="U100" s="138"/>
      <x:c r="V100" s="138"/>
      <x:c r="W100" s="138"/>
      <x:c r="X100" s="138"/>
      <x:c r="Y100" s="138"/>
      <x:c r="Z100" s="138"/>
    </x:row>
    <x:row r="101">
      <x:c r="A101" s="138"/>
      <x:c r="B101" s="138"/>
      <x:c r="C101" s="138"/>
      <x:c r="D101" s="138"/>
      <x:c r="E101" s="138"/>
      <x:c r="F101" s="138"/>
      <x:c r="G101" s="138"/>
      <x:c r="H101" s="138"/>
      <x:c r="I101" s="138"/>
      <x:c r="J101" s="138"/>
      <x:c r="K101" s="138"/>
      <x:c r="L101" s="138"/>
      <x:c r="M101" s="138"/>
      <x:c r="N101" s="138"/>
      <x:c r="O101" s="138"/>
      <x:c r="P101" s="138"/>
      <x:c r="Q101" s="138"/>
      <x:c r="R101" s="138"/>
      <x:c r="S101" s="138"/>
      <x:c r="T101" s="138"/>
      <x:c r="U101" s="138"/>
      <x:c r="V101" s="138"/>
      <x:c r="W101" s="138"/>
      <x:c r="X101" s="138"/>
      <x:c r="Y101" s="138"/>
      <x:c r="Z101" s="138"/>
    </x:row>
    <x:row r="102">
      <x:c r="A102" s="138"/>
      <x:c r="B102" s="138"/>
      <x:c r="C102" s="138"/>
      <x:c r="D102" s="138"/>
      <x:c r="E102" s="138"/>
      <x:c r="F102" s="138"/>
      <x:c r="G102" s="138"/>
      <x:c r="H102" s="138"/>
      <x:c r="I102" s="138"/>
      <x:c r="J102" s="138"/>
      <x:c r="K102" s="138"/>
      <x:c r="L102" s="138"/>
      <x:c r="M102" s="138"/>
      <x:c r="N102" s="138"/>
      <x:c r="O102" s="138"/>
      <x:c r="P102" s="138"/>
      <x:c r="Q102" s="138"/>
      <x:c r="R102" s="138"/>
      <x:c r="S102" s="138"/>
      <x:c r="T102" s="138"/>
      <x:c r="U102" s="138"/>
      <x:c r="V102" s="138"/>
      <x:c r="W102" s="138"/>
      <x:c r="X102" s="138"/>
      <x:c r="Y102" s="138"/>
      <x:c r="Z102" s="138"/>
    </x:row>
    <x:row r="103">
      <x:c r="A103" s="138"/>
      <x:c r="B103" s="138"/>
      <x:c r="C103" s="138"/>
      <x:c r="D103" s="138"/>
      <x:c r="E103" s="138"/>
      <x:c r="F103" s="138"/>
      <x:c r="G103" s="138"/>
      <x:c r="H103" s="138"/>
      <x:c r="I103" s="138"/>
      <x:c r="J103" s="138"/>
      <x:c r="K103" s="138"/>
      <x:c r="L103" s="138"/>
      <x:c r="M103" s="138"/>
      <x:c r="N103" s="138"/>
      <x:c r="O103" s="138"/>
      <x:c r="P103" s="138"/>
      <x:c r="Q103" s="138"/>
      <x:c r="R103" s="138"/>
      <x:c r="S103" s="138"/>
      <x:c r="T103" s="138"/>
      <x:c r="U103" s="138"/>
      <x:c r="V103" s="138"/>
      <x:c r="W103" s="138"/>
      <x:c r="X103" s="138"/>
      <x:c r="Y103" s="138"/>
      <x:c r="Z103" s="138"/>
    </x:row>
    <x:row r="104">
      <x:c r="A104" s="138"/>
      <x:c r="B104" s="138"/>
      <x:c r="C104" s="138"/>
      <x:c r="D104" s="138"/>
      <x:c r="E104" s="138"/>
      <x:c r="F104" s="138"/>
      <x:c r="G104" s="138"/>
      <x:c r="H104" s="138"/>
      <x:c r="I104" s="138"/>
      <x:c r="J104" s="138"/>
      <x:c r="K104" s="138"/>
      <x:c r="L104" s="138"/>
      <x:c r="M104" s="138"/>
      <x:c r="N104" s="138"/>
      <x:c r="O104" s="138"/>
      <x:c r="P104" s="138"/>
      <x:c r="Q104" s="138"/>
      <x:c r="R104" s="138"/>
      <x:c r="S104" s="138"/>
      <x:c r="T104" s="138"/>
      <x:c r="U104" s="138"/>
      <x:c r="V104" s="138"/>
      <x:c r="W104" s="138"/>
      <x:c r="X104" s="138"/>
      <x:c r="Y104" s="138"/>
      <x:c r="Z104" s="138"/>
    </x:row>
    <x:row r="105">
      <x:c r="A105" s="138"/>
      <x:c r="B105" s="138"/>
      <x:c r="C105" s="138"/>
      <x:c r="D105" s="138"/>
      <x:c r="E105" s="138"/>
      <x:c r="F105" s="138"/>
      <x:c r="G105" s="138"/>
      <x:c r="H105" s="138"/>
      <x:c r="I105" s="138"/>
      <x:c r="J105" s="138"/>
      <x:c r="K105" s="138"/>
      <x:c r="L105" s="138"/>
      <x:c r="M105" s="138"/>
      <x:c r="N105" s="138"/>
      <x:c r="O105" s="138"/>
      <x:c r="P105" s="138"/>
      <x:c r="Q105" s="138"/>
      <x:c r="R105" s="138"/>
      <x:c r="S105" s="138"/>
      <x:c r="T105" s="138"/>
      <x:c r="U105" s="138"/>
      <x:c r="V105" s="138"/>
      <x:c r="W105" s="138"/>
      <x:c r="X105" s="138"/>
      <x:c r="Y105" s="138"/>
      <x:c r="Z105" s="138"/>
    </x:row>
    <x:row r="106">
      <x:c r="A106" s="138"/>
      <x:c r="B106" s="138"/>
      <x:c r="C106" s="138"/>
      <x:c r="D106" s="138"/>
      <x:c r="E106" s="138"/>
      <x:c r="F106" s="138"/>
      <x:c r="G106" s="138"/>
      <x:c r="H106" s="138"/>
      <x:c r="I106" s="138"/>
      <x:c r="J106" s="138"/>
      <x:c r="K106" s="138"/>
      <x:c r="L106" s="138"/>
      <x:c r="M106" s="138"/>
      <x:c r="N106" s="138"/>
      <x:c r="O106" s="138"/>
      <x:c r="P106" s="138"/>
      <x:c r="Q106" s="138"/>
      <x:c r="R106" s="138"/>
      <x:c r="S106" s="138"/>
      <x:c r="T106" s="138"/>
      <x:c r="U106" s="138"/>
      <x:c r="V106" s="138"/>
      <x:c r="W106" s="138"/>
      <x:c r="X106" s="138"/>
      <x:c r="Y106" s="138"/>
      <x:c r="Z106" s="138"/>
    </x:row>
    <x:row r="107">
      <x:c r="A107" s="138"/>
      <x:c r="B107" s="138"/>
      <x:c r="C107" s="138"/>
      <x:c r="D107" s="138"/>
      <x:c r="E107" s="138"/>
      <x:c r="F107" s="138"/>
      <x:c r="G107" s="138"/>
      <x:c r="H107" s="138"/>
      <x:c r="I107" s="138"/>
      <x:c r="J107" s="138"/>
      <x:c r="K107" s="138"/>
      <x:c r="L107" s="138"/>
      <x:c r="M107" s="138"/>
      <x:c r="N107" s="138"/>
      <x:c r="O107" s="138"/>
      <x:c r="P107" s="138"/>
      <x:c r="Q107" s="138"/>
      <x:c r="R107" s="138"/>
      <x:c r="S107" s="138"/>
      <x:c r="T107" s="138"/>
      <x:c r="U107" s="138"/>
      <x:c r="V107" s="138"/>
      <x:c r="W107" s="138"/>
      <x:c r="X107" s="138"/>
      <x:c r="Y107" s="138"/>
      <x:c r="Z107" s="138"/>
    </x:row>
    <x:row r="108">
      <x:c r="A108" s="138"/>
      <x:c r="B108" s="138"/>
      <x:c r="C108" s="138"/>
      <x:c r="D108" s="138"/>
      <x:c r="E108" s="138"/>
      <x:c r="F108" s="138"/>
      <x:c r="G108" s="138"/>
      <x:c r="H108" s="138"/>
      <x:c r="I108" s="138"/>
      <x:c r="J108" s="138"/>
      <x:c r="K108" s="138"/>
      <x:c r="L108" s="138"/>
      <x:c r="M108" s="138"/>
      <x:c r="N108" s="138"/>
      <x:c r="O108" s="138"/>
      <x:c r="P108" s="138"/>
      <x:c r="Q108" s="138"/>
      <x:c r="R108" s="138"/>
      <x:c r="S108" s="138"/>
      <x:c r="T108" s="138"/>
      <x:c r="U108" s="138"/>
      <x:c r="V108" s="138"/>
      <x:c r="W108" s="138"/>
      <x:c r="X108" s="138"/>
      <x:c r="Y108" s="138"/>
      <x:c r="Z108" s="138"/>
    </x:row>
    <x:row r="109">
      <x:c r="A109" s="138"/>
      <x:c r="B109" s="138"/>
      <x:c r="C109" s="138"/>
      <x:c r="D109" s="138"/>
      <x:c r="E109" s="138"/>
      <x:c r="F109" s="138"/>
      <x:c r="G109" s="138"/>
      <x:c r="H109" s="138"/>
      <x:c r="I109" s="138"/>
      <x:c r="J109" s="138"/>
      <x:c r="K109" s="138"/>
      <x:c r="L109" s="138"/>
      <x:c r="M109" s="138"/>
      <x:c r="N109" s="138"/>
      <x:c r="O109" s="138"/>
      <x:c r="P109" s="138"/>
      <x:c r="Q109" s="138"/>
      <x:c r="R109" s="138"/>
      <x:c r="S109" s="138"/>
      <x:c r="T109" s="138"/>
      <x:c r="U109" s="138"/>
      <x:c r="V109" s="138"/>
      <x:c r="W109" s="138"/>
      <x:c r="X109" s="138"/>
      <x:c r="Y109" s="138"/>
      <x:c r="Z109" s="138"/>
    </x:row>
    <x:row r="110">
      <x:c r="A110" s="138"/>
      <x:c r="B110" s="138"/>
      <x:c r="C110" s="138"/>
      <x:c r="D110" s="138"/>
      <x:c r="E110" s="138"/>
      <x:c r="F110" s="138"/>
      <x:c r="G110" s="138"/>
      <x:c r="H110" s="138"/>
      <x:c r="I110" s="138"/>
      <x:c r="J110" s="138"/>
      <x:c r="K110" s="138"/>
      <x:c r="L110" s="138"/>
      <x:c r="M110" s="138"/>
      <x:c r="N110" s="138"/>
      <x:c r="O110" s="138"/>
      <x:c r="P110" s="138"/>
      <x:c r="Q110" s="138"/>
      <x:c r="R110" s="138"/>
      <x:c r="S110" s="138"/>
      <x:c r="T110" s="138"/>
      <x:c r="U110" s="138"/>
      <x:c r="V110" s="138"/>
      <x:c r="W110" s="138"/>
      <x:c r="X110" s="138"/>
      <x:c r="Y110" s="138"/>
      <x:c r="Z110" s="138"/>
    </x:row>
    <x:row r="111">
      <x:c r="A111" s="138"/>
      <x:c r="B111" s="138"/>
      <x:c r="C111" s="138"/>
      <x:c r="D111" s="138"/>
      <x:c r="E111" s="138"/>
      <x:c r="F111" s="138"/>
      <x:c r="G111" s="138"/>
      <x:c r="H111" s="138"/>
      <x:c r="I111" s="138"/>
      <x:c r="J111" s="138"/>
      <x:c r="K111" s="138"/>
      <x:c r="L111" s="138"/>
      <x:c r="M111" s="138"/>
      <x:c r="N111" s="138"/>
      <x:c r="O111" s="138"/>
      <x:c r="P111" s="138"/>
      <x:c r="Q111" s="138"/>
      <x:c r="R111" s="138"/>
      <x:c r="S111" s="138"/>
      <x:c r="T111" s="138"/>
      <x:c r="U111" s="138"/>
      <x:c r="V111" s="138"/>
      <x:c r="W111" s="138"/>
      <x:c r="X111" s="138"/>
      <x:c r="Y111" s="138"/>
      <x:c r="Z111" s="138"/>
    </x:row>
    <x:row r="112">
      <x:c r="A112" s="138"/>
      <x:c r="B112" s="138"/>
      <x:c r="C112" s="138"/>
      <x:c r="D112" s="138"/>
      <x:c r="E112" s="138"/>
      <x:c r="F112" s="138"/>
      <x:c r="G112" s="138"/>
      <x:c r="H112" s="138"/>
      <x:c r="I112" s="138"/>
      <x:c r="J112" s="138"/>
      <x:c r="K112" s="138"/>
      <x:c r="L112" s="138"/>
      <x:c r="M112" s="138"/>
      <x:c r="N112" s="138"/>
      <x:c r="O112" s="138"/>
      <x:c r="P112" s="138"/>
      <x:c r="Q112" s="138"/>
      <x:c r="R112" s="138"/>
      <x:c r="S112" s="138"/>
      <x:c r="T112" s="138"/>
      <x:c r="U112" s="138"/>
      <x:c r="V112" s="138"/>
      <x:c r="W112" s="138"/>
      <x:c r="X112" s="138"/>
      <x:c r="Y112" s="138"/>
      <x:c r="Z112" s="138"/>
    </x:row>
    <x:row r="113">
      <x:c r="A113" s="138"/>
      <x:c r="B113" s="138"/>
      <x:c r="C113" s="138"/>
      <x:c r="D113" s="138"/>
      <x:c r="E113" s="138"/>
      <x:c r="F113" s="138"/>
      <x:c r="G113" s="138"/>
      <x:c r="H113" s="138"/>
      <x:c r="I113" s="138"/>
      <x:c r="J113" s="138"/>
      <x:c r="K113" s="138"/>
      <x:c r="L113" s="138"/>
      <x:c r="M113" s="138"/>
      <x:c r="N113" s="138"/>
      <x:c r="O113" s="138"/>
      <x:c r="P113" s="138"/>
      <x:c r="Q113" s="138"/>
      <x:c r="R113" s="138"/>
      <x:c r="S113" s="138"/>
      <x:c r="T113" s="138"/>
      <x:c r="U113" s="138"/>
      <x:c r="V113" s="138"/>
      <x:c r="W113" s="138"/>
      <x:c r="X113" s="138"/>
      <x:c r="Y113" s="138"/>
      <x:c r="Z113" s="138"/>
    </x:row>
    <x:row r="114">
      <x:c r="A114" s="138"/>
      <x:c r="B114" s="138"/>
      <x:c r="C114" s="138"/>
      <x:c r="D114" s="138"/>
      <x:c r="E114" s="138"/>
      <x:c r="F114" s="138"/>
      <x:c r="G114" s="138"/>
      <x:c r="H114" s="138"/>
      <x:c r="I114" s="138"/>
      <x:c r="J114" s="138"/>
      <x:c r="K114" s="138"/>
      <x:c r="L114" s="138"/>
      <x:c r="M114" s="138"/>
      <x:c r="N114" s="138"/>
      <x:c r="O114" s="138"/>
      <x:c r="P114" s="138"/>
      <x:c r="Q114" s="138"/>
      <x:c r="R114" s="138"/>
      <x:c r="S114" s="138"/>
      <x:c r="T114" s="138"/>
      <x:c r="U114" s="138"/>
      <x:c r="V114" s="138"/>
      <x:c r="W114" s="138"/>
      <x:c r="X114" s="138"/>
      <x:c r="Y114" s="138"/>
      <x:c r="Z114" s="138"/>
    </x:row>
    <x:row r="115">
      <x:c r="A115" s="138"/>
      <x:c r="B115" s="138"/>
      <x:c r="C115" s="138"/>
      <x:c r="D115" s="138"/>
      <x:c r="E115" s="138"/>
      <x:c r="F115" s="138"/>
      <x:c r="G115" s="138"/>
      <x:c r="H115" s="138"/>
      <x:c r="I115" s="138"/>
      <x:c r="J115" s="138"/>
      <x:c r="K115" s="138"/>
      <x:c r="L115" s="138"/>
      <x:c r="M115" s="138"/>
      <x:c r="N115" s="138"/>
      <x:c r="O115" s="138"/>
      <x:c r="P115" s="138"/>
      <x:c r="Q115" s="138"/>
      <x:c r="R115" s="138"/>
      <x:c r="S115" s="138"/>
      <x:c r="T115" s="138"/>
      <x:c r="U115" s="138"/>
      <x:c r="V115" s="138"/>
      <x:c r="W115" s="138"/>
      <x:c r="X115" s="138"/>
      <x:c r="Y115" s="138"/>
      <x:c r="Z115" s="138"/>
    </x:row>
    <x:row r="116">
      <x:c r="A116" s="138"/>
      <x:c r="B116" s="138"/>
      <x:c r="C116" s="138"/>
      <x:c r="D116" s="138"/>
      <x:c r="E116" s="138"/>
      <x:c r="F116" s="138"/>
      <x:c r="G116" s="138"/>
      <x:c r="H116" s="138"/>
      <x:c r="I116" s="138"/>
      <x:c r="J116" s="138"/>
      <x:c r="K116" s="138"/>
      <x:c r="L116" s="138"/>
      <x:c r="M116" s="138"/>
      <x:c r="N116" s="138"/>
      <x:c r="O116" s="138"/>
      <x:c r="P116" s="138"/>
      <x:c r="Q116" s="138"/>
      <x:c r="R116" s="138"/>
      <x:c r="S116" s="138"/>
      <x:c r="T116" s="138"/>
      <x:c r="U116" s="138"/>
      <x:c r="V116" s="138"/>
      <x:c r="W116" s="138"/>
      <x:c r="X116" s="138"/>
      <x:c r="Y116" s="138"/>
      <x:c r="Z116" s="138"/>
    </x:row>
    <x:row r="117">
      <x:c r="A117" s="138"/>
      <x:c r="B117" s="138"/>
      <x:c r="C117" s="138"/>
      <x:c r="D117" s="138"/>
      <x:c r="E117" s="138"/>
      <x:c r="F117" s="138"/>
      <x:c r="G117" s="138"/>
      <x:c r="H117" s="138"/>
      <x:c r="I117" s="138"/>
      <x:c r="J117" s="138"/>
      <x:c r="K117" s="138"/>
      <x:c r="L117" s="138"/>
      <x:c r="M117" s="138"/>
      <x:c r="N117" s="138"/>
      <x:c r="O117" s="138"/>
      <x:c r="P117" s="138"/>
      <x:c r="Q117" s="138"/>
      <x:c r="R117" s="138"/>
      <x:c r="S117" s="138"/>
      <x:c r="T117" s="138"/>
      <x:c r="U117" s="138"/>
      <x:c r="V117" s="138"/>
      <x:c r="W117" s="138"/>
      <x:c r="X117" s="138"/>
      <x:c r="Y117" s="138"/>
      <x:c r="Z117" s="138"/>
    </x:row>
    <x:row r="118">
      <x:c r="A118" s="138"/>
      <x:c r="B118" s="138"/>
      <x:c r="C118" s="138"/>
      <x:c r="D118" s="138"/>
      <x:c r="E118" s="138"/>
      <x:c r="F118" s="138"/>
      <x:c r="G118" s="138"/>
      <x:c r="H118" s="138"/>
      <x:c r="I118" s="138"/>
      <x:c r="J118" s="138"/>
      <x:c r="K118" s="138"/>
      <x:c r="L118" s="138"/>
      <x:c r="M118" s="138"/>
      <x:c r="N118" s="138"/>
      <x:c r="O118" s="138"/>
      <x:c r="P118" s="138"/>
      <x:c r="Q118" s="138"/>
      <x:c r="R118" s="138"/>
      <x:c r="S118" s="138"/>
      <x:c r="T118" s="138"/>
      <x:c r="U118" s="138"/>
      <x:c r="V118" s="138"/>
      <x:c r="W118" s="138"/>
      <x:c r="X118" s="138"/>
      <x:c r="Y118" s="138"/>
      <x:c r="Z118" s="138"/>
    </x:row>
    <x:row r="119">
      <x:c r="A119" s="138"/>
      <x:c r="B119" s="138"/>
      <x:c r="C119" s="138"/>
      <x:c r="D119" s="138"/>
      <x:c r="E119" s="138"/>
      <x:c r="F119" s="138"/>
      <x:c r="G119" s="138"/>
      <x:c r="H119" s="138"/>
      <x:c r="I119" s="138"/>
      <x:c r="J119" s="138"/>
      <x:c r="K119" s="138"/>
      <x:c r="L119" s="138"/>
      <x:c r="M119" s="138"/>
      <x:c r="N119" s="138"/>
      <x:c r="O119" s="138"/>
      <x:c r="P119" s="138"/>
      <x:c r="Q119" s="138"/>
      <x:c r="R119" s="138"/>
      <x:c r="S119" s="138"/>
      <x:c r="T119" s="138"/>
      <x:c r="U119" s="138"/>
      <x:c r="V119" s="138"/>
      <x:c r="W119" s="138"/>
      <x:c r="X119" s="138"/>
      <x:c r="Y119" s="138"/>
      <x:c r="Z119" s="138"/>
    </x:row>
    <x:row r="120">
      <x:c r="A120" s="138"/>
      <x:c r="B120" s="138"/>
      <x:c r="C120" s="138"/>
      <x:c r="D120" s="138"/>
      <x:c r="E120" s="138"/>
      <x:c r="F120" s="138"/>
      <x:c r="G120" s="138"/>
      <x:c r="H120" s="138"/>
      <x:c r="I120" s="138"/>
      <x:c r="J120" s="138"/>
      <x:c r="K120" s="138"/>
      <x:c r="L120" s="138"/>
      <x:c r="M120" s="138"/>
      <x:c r="N120" s="138"/>
      <x:c r="O120" s="138"/>
      <x:c r="P120" s="138"/>
      <x:c r="Q120" s="138"/>
      <x:c r="R120" s="138"/>
      <x:c r="S120" s="138"/>
      <x:c r="T120" s="138"/>
      <x:c r="U120" s="138"/>
      <x:c r="V120" s="138"/>
      <x:c r="W120" s="138"/>
      <x:c r="X120" s="138"/>
      <x:c r="Y120" s="138"/>
      <x:c r="Z120" s="138"/>
    </x:row>
    <x:row r="121">
      <x:c r="A121" s="138"/>
      <x:c r="B121" s="138"/>
      <x:c r="C121" s="138"/>
      <x:c r="D121" s="138"/>
      <x:c r="E121" s="138"/>
      <x:c r="F121" s="138"/>
      <x:c r="G121" s="138"/>
      <x:c r="H121" s="138"/>
      <x:c r="I121" s="138"/>
      <x:c r="J121" s="138"/>
      <x:c r="K121" s="138"/>
      <x:c r="L121" s="138"/>
      <x:c r="M121" s="138"/>
      <x:c r="N121" s="138"/>
      <x:c r="O121" s="138"/>
      <x:c r="P121" s="138"/>
      <x:c r="Q121" s="138"/>
      <x:c r="R121" s="138"/>
      <x:c r="S121" s="138"/>
      <x:c r="T121" s="138"/>
      <x:c r="U121" s="138"/>
      <x:c r="V121" s="138"/>
      <x:c r="W121" s="138"/>
      <x:c r="X121" s="138"/>
      <x:c r="Y121" s="138"/>
      <x:c r="Z121" s="138"/>
    </x:row>
    <x:row r="122">
      <x:c r="A122" s="138"/>
      <x:c r="B122" s="138"/>
      <x:c r="C122" s="138"/>
      <x:c r="D122" s="138"/>
      <x:c r="E122" s="138"/>
      <x:c r="F122" s="138"/>
      <x:c r="G122" s="138"/>
      <x:c r="H122" s="138"/>
      <x:c r="I122" s="138"/>
      <x:c r="J122" s="138"/>
      <x:c r="K122" s="138"/>
      <x:c r="L122" s="138"/>
      <x:c r="M122" s="138"/>
      <x:c r="N122" s="138"/>
      <x:c r="O122" s="138"/>
      <x:c r="P122" s="138"/>
      <x:c r="Q122" s="138"/>
      <x:c r="R122" s="138"/>
      <x:c r="S122" s="138"/>
      <x:c r="T122" s="138"/>
      <x:c r="U122" s="138"/>
      <x:c r="V122" s="138"/>
      <x:c r="W122" s="138"/>
      <x:c r="X122" s="138"/>
      <x:c r="Y122" s="138"/>
      <x:c r="Z122" s="138"/>
    </x:row>
    <x:row r="123">
      <x:c r="A123" s="138"/>
      <x:c r="B123" s="138"/>
      <x:c r="C123" s="138"/>
      <x:c r="D123" s="138"/>
      <x:c r="E123" s="138"/>
      <x:c r="F123" s="138"/>
      <x:c r="G123" s="138"/>
      <x:c r="H123" s="138"/>
      <x:c r="I123" s="138"/>
      <x:c r="J123" s="138"/>
      <x:c r="K123" s="138"/>
      <x:c r="L123" s="138"/>
      <x:c r="M123" s="138"/>
      <x:c r="N123" s="138"/>
      <x:c r="O123" s="138"/>
      <x:c r="P123" s="138"/>
      <x:c r="Q123" s="138"/>
      <x:c r="R123" s="138"/>
      <x:c r="S123" s="138"/>
      <x:c r="T123" s="138"/>
      <x:c r="U123" s="138"/>
      <x:c r="V123" s="138"/>
      <x:c r="W123" s="138"/>
      <x:c r="X123" s="138"/>
      <x:c r="Y123" s="138"/>
      <x:c r="Z123" s="138"/>
    </x:row>
    <x:row r="124">
      <x:c r="A124" s="138"/>
      <x:c r="B124" s="138"/>
      <x:c r="C124" s="138"/>
      <x:c r="D124" s="138"/>
      <x:c r="E124" s="138"/>
      <x:c r="F124" s="138"/>
      <x:c r="G124" s="138"/>
      <x:c r="H124" s="138"/>
      <x:c r="I124" s="138"/>
      <x:c r="J124" s="138"/>
      <x:c r="K124" s="138"/>
      <x:c r="L124" s="138"/>
      <x:c r="M124" s="138"/>
      <x:c r="N124" s="138"/>
      <x:c r="O124" s="138"/>
      <x:c r="P124" s="138"/>
      <x:c r="Q124" s="138"/>
      <x:c r="R124" s="138"/>
      <x:c r="S124" s="138"/>
      <x:c r="T124" s="138"/>
      <x:c r="U124" s="138"/>
      <x:c r="V124" s="138"/>
      <x:c r="W124" s="138"/>
      <x:c r="X124" s="138"/>
      <x:c r="Y124" s="138"/>
      <x:c r="Z124" s="138"/>
    </x:row>
    <x:row r="125">
      <x:c r="A125" s="138"/>
      <x:c r="B125" s="138"/>
      <x:c r="C125" s="138"/>
      <x:c r="D125" s="138"/>
      <x:c r="E125" s="138"/>
      <x:c r="F125" s="138"/>
      <x:c r="G125" s="138"/>
      <x:c r="H125" s="138"/>
      <x:c r="I125" s="138"/>
      <x:c r="J125" s="138"/>
      <x:c r="K125" s="138"/>
      <x:c r="L125" s="138"/>
      <x:c r="M125" s="138"/>
      <x:c r="N125" s="138"/>
      <x:c r="O125" s="138"/>
      <x:c r="P125" s="138"/>
      <x:c r="Q125" s="138"/>
      <x:c r="R125" s="138"/>
      <x:c r="S125" s="138"/>
      <x:c r="T125" s="138"/>
      <x:c r="U125" s="138"/>
      <x:c r="V125" s="138"/>
      <x:c r="W125" s="138"/>
      <x:c r="X125" s="138"/>
      <x:c r="Y125" s="138"/>
      <x:c r="Z125" s="138"/>
    </x:row>
    <x:row r="126">
      <x:c r="A126" s="138"/>
      <x:c r="B126" s="138"/>
      <x:c r="C126" s="138"/>
      <x:c r="D126" s="138"/>
      <x:c r="E126" s="138"/>
      <x:c r="F126" s="138"/>
      <x:c r="G126" s="138"/>
      <x:c r="H126" s="138"/>
      <x:c r="I126" s="138"/>
      <x:c r="J126" s="138"/>
      <x:c r="K126" s="138"/>
      <x:c r="L126" s="138"/>
      <x:c r="M126" s="138"/>
      <x:c r="N126" s="138"/>
      <x:c r="O126" s="138"/>
      <x:c r="P126" s="138"/>
      <x:c r="Q126" s="138"/>
      <x:c r="R126" s="138"/>
      <x:c r="S126" s="138"/>
      <x:c r="T126" s="138"/>
      <x:c r="U126" s="138"/>
      <x:c r="V126" s="138"/>
      <x:c r="W126" s="138"/>
      <x:c r="X126" s="138"/>
      <x:c r="Y126" s="138"/>
      <x:c r="Z126" s="138"/>
    </x:row>
    <x:row r="127">
      <x:c r="A127" s="138"/>
      <x:c r="B127" s="138"/>
      <x:c r="C127" s="138"/>
      <x:c r="D127" s="138"/>
      <x:c r="E127" s="138"/>
      <x:c r="F127" s="138"/>
      <x:c r="G127" s="138"/>
      <x:c r="H127" s="138"/>
      <x:c r="I127" s="138"/>
      <x:c r="J127" s="138"/>
      <x:c r="K127" s="138"/>
      <x:c r="L127" s="138"/>
      <x:c r="M127" s="138"/>
      <x:c r="N127" s="138"/>
      <x:c r="O127" s="138"/>
      <x:c r="P127" s="138"/>
      <x:c r="Q127" s="138"/>
      <x:c r="R127" s="138"/>
      <x:c r="S127" s="138"/>
      <x:c r="T127" s="138"/>
      <x:c r="U127" s="138"/>
      <x:c r="V127" s="138"/>
      <x:c r="W127" s="138"/>
      <x:c r="X127" s="138"/>
      <x:c r="Y127" s="138"/>
      <x:c r="Z127" s="138"/>
    </x:row>
    <x:row r="128">
      <x:c r="A128" s="138"/>
      <x:c r="B128" s="138"/>
      <x:c r="C128" s="138"/>
      <x:c r="D128" s="138"/>
      <x:c r="E128" s="138"/>
      <x:c r="F128" s="138"/>
      <x:c r="G128" s="138"/>
      <x:c r="H128" s="138"/>
      <x:c r="I128" s="138"/>
      <x:c r="J128" s="138"/>
      <x:c r="K128" s="138"/>
      <x:c r="L128" s="138"/>
      <x:c r="M128" s="138"/>
      <x:c r="N128" s="138"/>
      <x:c r="O128" s="138"/>
      <x:c r="P128" s="138"/>
      <x:c r="Q128" s="138"/>
      <x:c r="R128" s="138"/>
      <x:c r="S128" s="138"/>
      <x:c r="T128" s="138"/>
      <x:c r="U128" s="138"/>
      <x:c r="V128" s="138"/>
      <x:c r="W128" s="138"/>
      <x:c r="X128" s="138"/>
      <x:c r="Y128" s="138"/>
      <x:c r="Z128" s="138"/>
    </x:row>
    <x:row r="129">
      <x:c r="A129" s="138"/>
      <x:c r="B129" s="138"/>
      <x:c r="C129" s="138"/>
      <x:c r="D129" s="138"/>
      <x:c r="E129" s="138"/>
      <x:c r="F129" s="138"/>
      <x:c r="G129" s="138"/>
      <x:c r="H129" s="138"/>
      <x:c r="I129" s="138"/>
      <x:c r="J129" s="138"/>
      <x:c r="K129" s="138"/>
      <x:c r="L129" s="138"/>
      <x:c r="M129" s="138"/>
      <x:c r="N129" s="138"/>
      <x:c r="O129" s="138"/>
      <x:c r="P129" s="138"/>
      <x:c r="Q129" s="138"/>
      <x:c r="R129" s="138"/>
      <x:c r="S129" s="138"/>
      <x:c r="T129" s="138"/>
      <x:c r="U129" s="138"/>
      <x:c r="V129" s="138"/>
      <x:c r="W129" s="138"/>
      <x:c r="X129" s="138"/>
      <x:c r="Y129" s="138"/>
      <x:c r="Z129" s="138"/>
    </x:row>
    <x:row r="130">
      <x:c r="A130" s="138"/>
      <x:c r="B130" s="138"/>
      <x:c r="C130" s="138"/>
      <x:c r="D130" s="138"/>
      <x:c r="E130" s="138"/>
      <x:c r="F130" s="138"/>
      <x:c r="G130" s="138"/>
      <x:c r="H130" s="138"/>
      <x:c r="I130" s="138"/>
      <x:c r="J130" s="138"/>
      <x:c r="K130" s="138"/>
      <x:c r="L130" s="138"/>
      <x:c r="M130" s="138"/>
      <x:c r="N130" s="138"/>
      <x:c r="O130" s="138"/>
      <x:c r="P130" s="138"/>
      <x:c r="Q130" s="138"/>
      <x:c r="R130" s="138"/>
      <x:c r="S130" s="138"/>
      <x:c r="T130" s="138"/>
      <x:c r="U130" s="138"/>
      <x:c r="V130" s="138"/>
      <x:c r="W130" s="138"/>
      <x:c r="X130" s="138"/>
      <x:c r="Y130" s="138"/>
      <x:c r="Z130" s="138"/>
    </x:row>
    <x:row r="131">
      <x:c r="A131" s="138"/>
      <x:c r="B131" s="138"/>
      <x:c r="C131" s="138"/>
      <x:c r="D131" s="138"/>
      <x:c r="E131" s="138"/>
      <x:c r="F131" s="138"/>
      <x:c r="G131" s="138"/>
      <x:c r="H131" s="138"/>
      <x:c r="I131" s="138"/>
      <x:c r="J131" s="138"/>
      <x:c r="K131" s="138"/>
      <x:c r="L131" s="138"/>
      <x:c r="M131" s="138"/>
      <x:c r="N131" s="138"/>
      <x:c r="O131" s="138"/>
      <x:c r="P131" s="138"/>
      <x:c r="Q131" s="138"/>
      <x:c r="R131" s="138"/>
      <x:c r="S131" s="138"/>
      <x:c r="T131" s="138"/>
      <x:c r="U131" s="138"/>
      <x:c r="V131" s="138"/>
      <x:c r="W131" s="138"/>
      <x:c r="X131" s="138"/>
      <x:c r="Y131" s="138"/>
      <x:c r="Z131" s="138"/>
    </x:row>
    <x:row r="132">
      <x:c r="A132" s="138"/>
      <x:c r="B132" s="138"/>
      <x:c r="C132" s="138"/>
      <x:c r="D132" s="138"/>
      <x:c r="E132" s="138"/>
      <x:c r="F132" s="138"/>
      <x:c r="G132" s="138"/>
      <x:c r="H132" s="138"/>
      <x:c r="I132" s="138"/>
      <x:c r="J132" s="138"/>
      <x:c r="K132" s="138"/>
      <x:c r="L132" s="138"/>
      <x:c r="M132" s="138"/>
      <x:c r="N132" s="138"/>
      <x:c r="O132" s="138"/>
      <x:c r="P132" s="138"/>
      <x:c r="Q132" s="138"/>
      <x:c r="R132" s="138"/>
      <x:c r="S132" s="138"/>
      <x:c r="T132" s="138"/>
      <x:c r="U132" s="138"/>
      <x:c r="V132" s="138"/>
      <x:c r="W132" s="138"/>
      <x:c r="X132" s="138"/>
      <x:c r="Y132" s="138"/>
      <x:c r="Z132" s="138"/>
    </x:row>
    <x:row r="133">
      <x:c r="A133" s="138"/>
      <x:c r="B133" s="138"/>
      <x:c r="C133" s="138"/>
      <x:c r="D133" s="138"/>
      <x:c r="E133" s="138"/>
      <x:c r="F133" s="138"/>
      <x:c r="G133" s="138"/>
      <x:c r="H133" s="138"/>
      <x:c r="I133" s="138"/>
      <x:c r="J133" s="138"/>
      <x:c r="K133" s="138"/>
      <x:c r="L133" s="138"/>
      <x:c r="M133" s="138"/>
      <x:c r="N133" s="138"/>
      <x:c r="O133" s="138"/>
      <x:c r="P133" s="138"/>
      <x:c r="Q133" s="138"/>
      <x:c r="R133" s="138"/>
      <x:c r="S133" s="138"/>
      <x:c r="T133" s="138"/>
      <x:c r="U133" s="138"/>
      <x:c r="V133" s="138"/>
      <x:c r="W133" s="138"/>
      <x:c r="X133" s="138"/>
      <x:c r="Y133" s="138"/>
      <x:c r="Z133" s="138"/>
    </x:row>
    <x:row r="134">
      <x:c r="A134" s="138"/>
      <x:c r="B134" s="138"/>
      <x:c r="C134" s="138"/>
      <x:c r="D134" s="138"/>
      <x:c r="E134" s="138"/>
      <x:c r="F134" s="138"/>
      <x:c r="G134" s="138"/>
      <x:c r="H134" s="138"/>
      <x:c r="I134" s="138"/>
      <x:c r="J134" s="138"/>
      <x:c r="K134" s="138"/>
      <x:c r="L134" s="138"/>
      <x:c r="M134" s="138"/>
      <x:c r="N134" s="138"/>
      <x:c r="O134" s="138"/>
      <x:c r="P134" s="138"/>
      <x:c r="Q134" s="138"/>
      <x:c r="R134" s="138"/>
      <x:c r="S134" s="138"/>
      <x:c r="T134" s="138"/>
      <x:c r="U134" s="138"/>
      <x:c r="V134" s="138"/>
      <x:c r="W134" s="138"/>
      <x:c r="X134" s="138"/>
      <x:c r="Y134" s="138"/>
      <x:c r="Z134" s="138"/>
    </x:row>
    <x:row r="135">
      <x:c r="A135" s="138"/>
      <x:c r="B135" s="138"/>
      <x:c r="C135" s="138"/>
      <x:c r="D135" s="138"/>
      <x:c r="E135" s="138"/>
      <x:c r="F135" s="138"/>
      <x:c r="G135" s="138"/>
      <x:c r="H135" s="138"/>
      <x:c r="I135" s="138"/>
      <x:c r="J135" s="138"/>
      <x:c r="K135" s="138"/>
      <x:c r="L135" s="138"/>
      <x:c r="M135" s="138"/>
      <x:c r="N135" s="138"/>
      <x:c r="O135" s="138"/>
      <x:c r="P135" s="138"/>
      <x:c r="Q135" s="138"/>
      <x:c r="R135" s="138"/>
      <x:c r="S135" s="138"/>
      <x:c r="T135" s="138"/>
      <x:c r="U135" s="138"/>
      <x:c r="V135" s="138"/>
      <x:c r="W135" s="138"/>
      <x:c r="X135" s="138"/>
      <x:c r="Y135" s="138"/>
      <x:c r="Z135" s="138"/>
    </x:row>
    <x:row r="136">
      <x:c r="A136" s="138"/>
      <x:c r="B136" s="138"/>
      <x:c r="C136" s="138"/>
      <x:c r="D136" s="138"/>
      <x:c r="E136" s="138"/>
      <x:c r="F136" s="138"/>
      <x:c r="G136" s="138"/>
      <x:c r="H136" s="138"/>
      <x:c r="I136" s="138"/>
      <x:c r="J136" s="138"/>
      <x:c r="K136" s="138"/>
      <x:c r="L136" s="138"/>
      <x:c r="M136" s="138"/>
      <x:c r="N136" s="138"/>
      <x:c r="O136" s="138"/>
      <x:c r="P136" s="138"/>
      <x:c r="Q136" s="138"/>
      <x:c r="R136" s="138"/>
      <x:c r="S136" s="138"/>
      <x:c r="T136" s="138"/>
      <x:c r="U136" s="138"/>
      <x:c r="V136" s="138"/>
      <x:c r="W136" s="138"/>
      <x:c r="X136" s="138"/>
      <x:c r="Y136" s="138"/>
      <x:c r="Z136" s="138"/>
    </x:row>
    <x:row r="137">
      <x:c r="A137" s="138"/>
      <x:c r="B137" s="138"/>
      <x:c r="C137" s="138"/>
      <x:c r="D137" s="138"/>
      <x:c r="E137" s="138"/>
      <x:c r="F137" s="138"/>
      <x:c r="G137" s="138"/>
      <x:c r="H137" s="138"/>
      <x:c r="I137" s="138"/>
      <x:c r="J137" s="138"/>
      <x:c r="K137" s="138"/>
      <x:c r="L137" s="138"/>
      <x:c r="M137" s="138"/>
      <x:c r="N137" s="138"/>
      <x:c r="O137" s="138"/>
      <x:c r="P137" s="138"/>
      <x:c r="Q137" s="138"/>
      <x:c r="R137" s="138"/>
      <x:c r="S137" s="138"/>
      <x:c r="T137" s="138"/>
      <x:c r="U137" s="138"/>
      <x:c r="V137" s="138"/>
      <x:c r="W137" s="138"/>
      <x:c r="X137" s="138"/>
      <x:c r="Y137" s="138"/>
      <x:c r="Z137" s="138"/>
    </x:row>
    <x:row r="138">
      <x:c r="A138" s="138"/>
      <x:c r="B138" s="138"/>
      <x:c r="C138" s="138"/>
      <x:c r="D138" s="138"/>
      <x:c r="E138" s="138"/>
      <x:c r="F138" s="138"/>
      <x:c r="G138" s="138"/>
      <x:c r="H138" s="138"/>
      <x:c r="I138" s="138"/>
      <x:c r="J138" s="138"/>
      <x:c r="K138" s="138"/>
      <x:c r="L138" s="138"/>
      <x:c r="M138" s="138"/>
      <x:c r="N138" s="138"/>
      <x:c r="O138" s="138"/>
      <x:c r="P138" s="138"/>
      <x:c r="Q138" s="138"/>
      <x:c r="R138" s="138"/>
      <x:c r="S138" s="138"/>
      <x:c r="T138" s="138"/>
      <x:c r="U138" s="138"/>
      <x:c r="V138" s="138"/>
      <x:c r="W138" s="138"/>
      <x:c r="X138" s="138"/>
      <x:c r="Y138" s="138"/>
      <x:c r="Z138" s="138"/>
    </x:row>
    <x:row r="139">
      <x:c r="A139" s="138"/>
      <x:c r="B139" s="138"/>
      <x:c r="C139" s="138"/>
      <x:c r="D139" s="138"/>
      <x:c r="E139" s="138"/>
      <x:c r="F139" s="138"/>
      <x:c r="G139" s="138"/>
      <x:c r="H139" s="138"/>
      <x:c r="I139" s="138"/>
      <x:c r="J139" s="138"/>
      <x:c r="K139" s="138"/>
      <x:c r="L139" s="138"/>
      <x:c r="M139" s="138"/>
      <x:c r="N139" s="138"/>
      <x:c r="O139" s="138"/>
      <x:c r="P139" s="138"/>
      <x:c r="Q139" s="138"/>
      <x:c r="R139" s="138"/>
      <x:c r="S139" s="138"/>
      <x:c r="T139" s="138"/>
      <x:c r="U139" s="138"/>
      <x:c r="V139" s="138"/>
      <x:c r="W139" s="138"/>
      <x:c r="X139" s="138"/>
      <x:c r="Y139" s="138"/>
      <x:c r="Z139" s="138"/>
    </x:row>
    <x:row r="140">
      <x:c r="A140" s="138"/>
      <x:c r="B140" s="138"/>
      <x:c r="C140" s="138"/>
      <x:c r="D140" s="138"/>
      <x:c r="E140" s="138"/>
      <x:c r="F140" s="138"/>
      <x:c r="G140" s="138"/>
      <x:c r="H140" s="138"/>
      <x:c r="I140" s="138"/>
      <x:c r="J140" s="138"/>
      <x:c r="K140" s="138"/>
      <x:c r="L140" s="138"/>
      <x:c r="M140" s="138"/>
      <x:c r="N140" s="138"/>
      <x:c r="O140" s="138"/>
      <x:c r="P140" s="138"/>
      <x:c r="Q140" s="138"/>
      <x:c r="R140" s="138"/>
      <x:c r="S140" s="138"/>
      <x:c r="T140" s="138"/>
      <x:c r="U140" s="138"/>
      <x:c r="V140" s="138"/>
      <x:c r="W140" s="138"/>
      <x:c r="X140" s="138"/>
      <x:c r="Y140" s="138"/>
      <x:c r="Z140" s="138"/>
    </x:row>
    <x:row r="141">
      <x:c r="A141" s="138"/>
      <x:c r="B141" s="138"/>
      <x:c r="C141" s="138"/>
      <x:c r="D141" s="138"/>
      <x:c r="E141" s="138"/>
      <x:c r="F141" s="138"/>
      <x:c r="G141" s="138"/>
      <x:c r="H141" s="138"/>
      <x:c r="I141" s="138"/>
      <x:c r="J141" s="138"/>
      <x:c r="K141" s="138"/>
      <x:c r="L141" s="138"/>
      <x:c r="M141" s="138"/>
      <x:c r="N141" s="138"/>
      <x:c r="O141" s="138"/>
      <x:c r="P141" s="138"/>
      <x:c r="Q141" s="138"/>
      <x:c r="R141" s="138"/>
      <x:c r="S141" s="138"/>
      <x:c r="T141" s="138"/>
      <x:c r="U141" s="138"/>
      <x:c r="V141" s="138"/>
      <x:c r="W141" s="138"/>
      <x:c r="X141" s="138"/>
      <x:c r="Y141" s="138"/>
      <x:c r="Z141" s="138"/>
    </x:row>
    <x:row r="142">
      <x:c r="A142" s="138"/>
      <x:c r="B142" s="138"/>
      <x:c r="C142" s="138"/>
      <x:c r="D142" s="138"/>
      <x:c r="E142" s="138"/>
      <x:c r="F142" s="138"/>
      <x:c r="G142" s="138"/>
      <x:c r="H142" s="138"/>
      <x:c r="I142" s="138"/>
      <x:c r="J142" s="138"/>
      <x:c r="K142" s="138"/>
      <x:c r="L142" s="138"/>
      <x:c r="M142" s="138"/>
      <x:c r="N142" s="138"/>
      <x:c r="O142" s="138"/>
      <x:c r="P142" s="138"/>
      <x:c r="Q142" s="138"/>
      <x:c r="R142" s="138"/>
      <x:c r="S142" s="138"/>
      <x:c r="T142" s="138"/>
      <x:c r="U142" s="138"/>
      <x:c r="V142" s="138"/>
      <x:c r="W142" s="138"/>
      <x:c r="X142" s="138"/>
      <x:c r="Y142" s="138"/>
      <x:c r="Z142" s="138"/>
    </x:row>
    <x:row r="143">
      <x:c r="A143" s="138"/>
      <x:c r="B143" s="138"/>
      <x:c r="C143" s="138"/>
      <x:c r="D143" s="138"/>
      <x:c r="E143" s="138"/>
      <x:c r="F143" s="138"/>
      <x:c r="G143" s="138"/>
      <x:c r="H143" s="138"/>
      <x:c r="I143" s="138"/>
      <x:c r="J143" s="138"/>
      <x:c r="K143" s="138"/>
      <x:c r="L143" s="138"/>
      <x:c r="M143" s="138"/>
      <x:c r="N143" s="138"/>
      <x:c r="O143" s="138"/>
      <x:c r="P143" s="138"/>
      <x:c r="Q143" s="138"/>
      <x:c r="R143" s="138"/>
      <x:c r="S143" s="138"/>
      <x:c r="T143" s="138"/>
      <x:c r="U143" s="138"/>
      <x:c r="V143" s="138"/>
      <x:c r="W143" s="138"/>
      <x:c r="X143" s="138"/>
      <x:c r="Y143" s="138"/>
      <x:c r="Z143" s="138"/>
    </x:row>
    <x:row r="144">
      <x:c r="A144" s="138"/>
      <x:c r="B144" s="138"/>
      <x:c r="C144" s="138"/>
      <x:c r="D144" s="138"/>
      <x:c r="E144" s="138"/>
      <x:c r="F144" s="138"/>
      <x:c r="G144" s="138"/>
      <x:c r="H144" s="138"/>
      <x:c r="I144" s="138"/>
      <x:c r="J144" s="138"/>
      <x:c r="K144" s="138"/>
      <x:c r="L144" s="138"/>
      <x:c r="M144" s="138"/>
      <x:c r="N144" s="138"/>
      <x:c r="O144" s="138"/>
      <x:c r="P144" s="138"/>
      <x:c r="Q144" s="138"/>
      <x:c r="R144" s="138"/>
      <x:c r="S144" s="138"/>
      <x:c r="T144" s="138"/>
      <x:c r="U144" s="138"/>
      <x:c r="V144" s="138"/>
      <x:c r="W144" s="138"/>
      <x:c r="X144" s="138"/>
      <x:c r="Y144" s="138"/>
      <x:c r="Z144" s="138"/>
    </x:row>
    <x:row r="145">
      <x:c r="A145" s="138"/>
      <x:c r="B145" s="138"/>
      <x:c r="C145" s="138"/>
      <x:c r="D145" s="138"/>
      <x:c r="E145" s="138"/>
      <x:c r="F145" s="138"/>
      <x:c r="G145" s="138"/>
      <x:c r="H145" s="138"/>
      <x:c r="I145" s="138"/>
      <x:c r="J145" s="138"/>
      <x:c r="K145" s="138"/>
      <x:c r="L145" s="138"/>
      <x:c r="M145" s="138"/>
      <x:c r="N145" s="138"/>
      <x:c r="O145" s="138"/>
      <x:c r="P145" s="138"/>
      <x:c r="Q145" s="138"/>
      <x:c r="R145" s="138"/>
      <x:c r="S145" s="138"/>
      <x:c r="T145" s="138"/>
      <x:c r="U145" s="138"/>
      <x:c r="V145" s="138"/>
      <x:c r="W145" s="138"/>
      <x:c r="X145" s="138"/>
      <x:c r="Y145" s="138"/>
      <x:c r="Z145" s="138"/>
    </x:row>
    <x:row r="146">
      <x:c r="A146" s="138"/>
      <x:c r="B146" s="138"/>
      <x:c r="C146" s="138"/>
      <x:c r="D146" s="138"/>
      <x:c r="E146" s="138"/>
      <x:c r="F146" s="138"/>
      <x:c r="G146" s="138"/>
      <x:c r="H146" s="138"/>
      <x:c r="I146" s="138"/>
      <x:c r="J146" s="138"/>
      <x:c r="K146" s="138"/>
      <x:c r="L146" s="138"/>
      <x:c r="M146" s="138"/>
      <x:c r="N146" s="138"/>
      <x:c r="O146" s="138"/>
      <x:c r="P146" s="138"/>
      <x:c r="Q146" s="138"/>
      <x:c r="R146" s="138"/>
      <x:c r="S146" s="138"/>
      <x:c r="T146" s="138"/>
      <x:c r="U146" s="138"/>
      <x:c r="V146" s="138"/>
      <x:c r="W146" s="138"/>
      <x:c r="X146" s="138"/>
      <x:c r="Y146" s="138"/>
      <x:c r="Z146" s="138"/>
    </x:row>
    <x:row r="147">
      <x:c r="A147" s="138"/>
      <x:c r="B147" s="138"/>
      <x:c r="C147" s="138"/>
      <x:c r="D147" s="138"/>
      <x:c r="E147" s="138"/>
      <x:c r="F147" s="138"/>
      <x:c r="G147" s="138"/>
      <x:c r="H147" s="138"/>
      <x:c r="I147" s="138"/>
      <x:c r="J147" s="138"/>
      <x:c r="K147" s="138"/>
      <x:c r="L147" s="138"/>
      <x:c r="M147" s="138"/>
      <x:c r="N147" s="138"/>
      <x:c r="O147" s="138"/>
      <x:c r="P147" s="138"/>
      <x:c r="Q147" s="138"/>
      <x:c r="R147" s="138"/>
      <x:c r="S147" s="138"/>
      <x:c r="T147" s="138"/>
      <x:c r="U147" s="138"/>
      <x:c r="V147" s="138"/>
      <x:c r="W147" s="138"/>
      <x:c r="X147" s="138"/>
      <x:c r="Y147" s="138"/>
      <x:c r="Z147" s="138"/>
    </x:row>
    <x:row r="148">
      <x:c r="A148" s="138"/>
      <x:c r="B148" s="138"/>
      <x:c r="C148" s="138"/>
      <x:c r="D148" s="138"/>
      <x:c r="E148" s="138"/>
      <x:c r="F148" s="138"/>
      <x:c r="G148" s="138"/>
      <x:c r="H148" s="138"/>
      <x:c r="I148" s="138"/>
      <x:c r="J148" s="138"/>
      <x:c r="K148" s="138"/>
      <x:c r="L148" s="138"/>
      <x:c r="M148" s="138"/>
      <x:c r="N148" s="138"/>
      <x:c r="O148" s="138"/>
      <x:c r="P148" s="138"/>
      <x:c r="Q148" s="138"/>
      <x:c r="R148" s="138"/>
      <x:c r="S148" s="138"/>
      <x:c r="T148" s="138"/>
      <x:c r="U148" s="138"/>
      <x:c r="V148" s="138"/>
      <x:c r="W148" s="138"/>
      <x:c r="X148" s="138"/>
      <x:c r="Y148" s="138"/>
      <x:c r="Z148" s="138"/>
    </x:row>
    <x:row r="149">
      <x:c r="A149" s="138"/>
      <x:c r="B149" s="138"/>
      <x:c r="C149" s="138"/>
      <x:c r="D149" s="138"/>
      <x:c r="E149" s="138"/>
      <x:c r="F149" s="138"/>
      <x:c r="G149" s="138"/>
      <x:c r="H149" s="138"/>
      <x:c r="I149" s="138"/>
      <x:c r="J149" s="138"/>
      <x:c r="K149" s="138"/>
      <x:c r="L149" s="138"/>
      <x:c r="M149" s="138"/>
      <x:c r="N149" s="138"/>
      <x:c r="O149" s="138"/>
      <x:c r="P149" s="138"/>
      <x:c r="Q149" s="138"/>
      <x:c r="R149" s="138"/>
      <x:c r="S149" s="138"/>
      <x:c r="T149" s="138"/>
      <x:c r="U149" s="138"/>
      <x:c r="V149" s="138"/>
      <x:c r="W149" s="138"/>
      <x:c r="X149" s="138"/>
      <x:c r="Y149" s="138"/>
      <x:c r="Z149" s="138"/>
    </x:row>
    <x:row r="150">
      <x:c r="A150" s="138"/>
      <x:c r="B150" s="138"/>
      <x:c r="C150" s="138"/>
      <x:c r="D150" s="138"/>
      <x:c r="E150" s="138"/>
      <x:c r="F150" s="138"/>
      <x:c r="G150" s="138"/>
      <x:c r="H150" s="138"/>
      <x:c r="I150" s="138"/>
      <x:c r="J150" s="138"/>
      <x:c r="K150" s="138"/>
      <x:c r="L150" s="138"/>
      <x:c r="M150" s="138"/>
      <x:c r="N150" s="138"/>
      <x:c r="O150" s="138"/>
      <x:c r="P150" s="138"/>
      <x:c r="Q150" s="138"/>
      <x:c r="R150" s="138"/>
      <x:c r="S150" s="138"/>
      <x:c r="T150" s="138"/>
      <x:c r="U150" s="138"/>
      <x:c r="V150" s="138"/>
      <x:c r="W150" s="138"/>
      <x:c r="X150" s="138"/>
      <x:c r="Y150" s="138"/>
      <x:c r="Z150" s="138"/>
    </x:row>
    <x:row r="151">
      <x:c r="A151" s="138"/>
      <x:c r="B151" s="138"/>
      <x:c r="C151" s="138"/>
      <x:c r="D151" s="138"/>
      <x:c r="E151" s="138"/>
      <x:c r="F151" s="138"/>
      <x:c r="G151" s="138"/>
      <x:c r="H151" s="138"/>
      <x:c r="I151" s="138"/>
      <x:c r="J151" s="138"/>
      <x:c r="K151" s="138"/>
      <x:c r="L151" s="138"/>
      <x:c r="M151" s="138"/>
      <x:c r="N151" s="138"/>
      <x:c r="O151" s="138"/>
      <x:c r="P151" s="138"/>
      <x:c r="Q151" s="138"/>
      <x:c r="R151" s="138"/>
      <x:c r="S151" s="138"/>
      <x:c r="T151" s="138"/>
      <x:c r="U151" s="138"/>
      <x:c r="V151" s="138"/>
      <x:c r="W151" s="138"/>
      <x:c r="X151" s="138"/>
      <x:c r="Y151" s="138"/>
      <x:c r="Z151" s="138"/>
    </x:row>
    <x:row r="152">
      <x:c r="A152" s="138"/>
      <x:c r="B152" s="138"/>
      <x:c r="C152" s="138"/>
      <x:c r="D152" s="138"/>
      <x:c r="E152" s="138"/>
      <x:c r="F152" s="138"/>
      <x:c r="G152" s="138"/>
      <x:c r="H152" s="138"/>
      <x:c r="I152" s="138"/>
      <x:c r="J152" s="138"/>
      <x:c r="K152" s="138"/>
      <x:c r="L152" s="138"/>
      <x:c r="M152" s="138"/>
      <x:c r="N152" s="138"/>
      <x:c r="O152" s="138"/>
      <x:c r="P152" s="138"/>
      <x:c r="Q152" s="138"/>
      <x:c r="R152" s="138"/>
      <x:c r="S152" s="138"/>
      <x:c r="T152" s="138"/>
      <x:c r="U152" s="138"/>
      <x:c r="V152" s="138"/>
      <x:c r="W152" s="138"/>
      <x:c r="X152" s="138"/>
      <x:c r="Y152" s="138"/>
      <x:c r="Z152" s="138"/>
    </x:row>
    <x:row r="153">
      <x:c r="A153" s="138"/>
      <x:c r="B153" s="138"/>
      <x:c r="C153" s="138"/>
      <x:c r="D153" s="138"/>
      <x:c r="E153" s="138"/>
      <x:c r="F153" s="138"/>
      <x:c r="G153" s="138"/>
      <x:c r="H153" s="138"/>
      <x:c r="I153" s="138"/>
      <x:c r="J153" s="138"/>
      <x:c r="K153" s="138"/>
      <x:c r="L153" s="138"/>
      <x:c r="M153" s="138"/>
      <x:c r="N153" s="138"/>
      <x:c r="O153" s="138"/>
      <x:c r="P153" s="138"/>
      <x:c r="Q153" s="138"/>
      <x:c r="R153" s="138"/>
      <x:c r="S153" s="138"/>
      <x:c r="T153" s="138"/>
      <x:c r="U153" s="138"/>
      <x:c r="V153" s="138"/>
      <x:c r="W153" s="138"/>
      <x:c r="X153" s="138"/>
      <x:c r="Y153" s="138"/>
      <x:c r="Z153" s="138"/>
    </x:row>
    <x:row r="154">
      <x:c r="A154" s="138"/>
      <x:c r="B154" s="138"/>
      <x:c r="C154" s="138"/>
      <x:c r="D154" s="138"/>
      <x:c r="E154" s="138"/>
      <x:c r="F154" s="138"/>
      <x:c r="G154" s="138"/>
      <x:c r="H154" s="138"/>
      <x:c r="I154" s="138"/>
      <x:c r="J154" s="138"/>
      <x:c r="K154" s="138"/>
      <x:c r="L154" s="138"/>
      <x:c r="M154" s="138"/>
      <x:c r="N154" s="138"/>
      <x:c r="O154" s="138"/>
      <x:c r="P154" s="138"/>
      <x:c r="Q154" s="138"/>
      <x:c r="R154" s="138"/>
      <x:c r="S154" s="138"/>
      <x:c r="T154" s="138"/>
      <x:c r="U154" s="138"/>
      <x:c r="V154" s="138"/>
      <x:c r="W154" s="138"/>
      <x:c r="X154" s="138"/>
      <x:c r="Y154" s="138"/>
      <x:c r="Z154" s="138"/>
    </x:row>
    <x:row r="155">
      <x:c r="A155" s="138"/>
      <x:c r="B155" s="138"/>
      <x:c r="C155" s="138"/>
      <x:c r="D155" s="138"/>
      <x:c r="E155" s="138"/>
      <x:c r="F155" s="138"/>
      <x:c r="G155" s="138"/>
      <x:c r="H155" s="138"/>
      <x:c r="I155" s="138"/>
      <x:c r="J155" s="138"/>
      <x:c r="K155" s="138"/>
      <x:c r="L155" s="138"/>
      <x:c r="M155" s="138"/>
      <x:c r="N155" s="138"/>
      <x:c r="O155" s="138"/>
      <x:c r="P155" s="138"/>
      <x:c r="Q155" s="138"/>
      <x:c r="R155" s="138"/>
      <x:c r="S155" s="138"/>
      <x:c r="T155" s="138"/>
      <x:c r="U155" s="138"/>
      <x:c r="V155" s="138"/>
      <x:c r="W155" s="138"/>
      <x:c r="X155" s="138"/>
      <x:c r="Y155" s="138"/>
      <x:c r="Z155" s="138"/>
    </x:row>
    <x:row r="156">
      <x:c r="A156" s="138"/>
      <x:c r="B156" s="138"/>
      <x:c r="C156" s="138"/>
      <x:c r="D156" s="138"/>
      <x:c r="E156" s="138"/>
      <x:c r="F156" s="138"/>
      <x:c r="G156" s="138"/>
      <x:c r="H156" s="138"/>
      <x:c r="I156" s="138"/>
      <x:c r="J156" s="138"/>
      <x:c r="K156" s="138"/>
      <x:c r="L156" s="138"/>
      <x:c r="M156" s="138"/>
      <x:c r="N156" s="138"/>
      <x:c r="O156" s="138"/>
      <x:c r="P156" s="138"/>
      <x:c r="Q156" s="138"/>
      <x:c r="R156" s="138"/>
      <x:c r="S156" s="138"/>
      <x:c r="T156" s="138"/>
      <x:c r="U156" s="138"/>
      <x:c r="V156" s="138"/>
      <x:c r="W156" s="138"/>
      <x:c r="X156" s="138"/>
      <x:c r="Y156" s="138"/>
      <x:c r="Z156" s="138"/>
    </x:row>
    <x:row r="157">
      <x:c r="A157" s="138"/>
      <x:c r="B157" s="138"/>
      <x:c r="C157" s="138"/>
      <x:c r="D157" s="138"/>
      <x:c r="E157" s="138"/>
      <x:c r="F157" s="138"/>
      <x:c r="G157" s="138"/>
      <x:c r="H157" s="138"/>
      <x:c r="I157" s="138"/>
      <x:c r="J157" s="138"/>
      <x:c r="K157" s="138"/>
      <x:c r="L157" s="138"/>
      <x:c r="M157" s="138"/>
      <x:c r="N157" s="138"/>
      <x:c r="O157" s="138"/>
      <x:c r="P157" s="138"/>
      <x:c r="Q157" s="138"/>
      <x:c r="R157" s="138"/>
      <x:c r="S157" s="138"/>
      <x:c r="T157" s="138"/>
      <x:c r="U157" s="138"/>
      <x:c r="V157" s="138"/>
      <x:c r="W157" s="138"/>
      <x:c r="X157" s="138"/>
      <x:c r="Y157" s="138"/>
      <x:c r="Z157" s="138"/>
    </x:row>
    <x:row r="158">
      <x:c r="A158" s="138"/>
      <x:c r="B158" s="138"/>
      <x:c r="C158" s="138"/>
      <x:c r="D158" s="138"/>
      <x:c r="E158" s="138"/>
      <x:c r="F158" s="138"/>
      <x:c r="G158" s="138"/>
      <x:c r="H158" s="138"/>
      <x:c r="I158" s="138"/>
      <x:c r="J158" s="138"/>
      <x:c r="K158" s="138"/>
      <x:c r="L158" s="138"/>
      <x:c r="M158" s="138"/>
      <x:c r="N158" s="138"/>
      <x:c r="O158" s="138"/>
      <x:c r="P158" s="138"/>
      <x:c r="Q158" s="138"/>
      <x:c r="R158" s="138"/>
      <x:c r="S158" s="138"/>
      <x:c r="T158" s="138"/>
      <x:c r="U158" s="138"/>
      <x:c r="V158" s="138"/>
      <x:c r="W158" s="138"/>
      <x:c r="X158" s="138"/>
      <x:c r="Y158" s="138"/>
      <x:c r="Z158" s="138"/>
    </x:row>
    <x:row r="159">
      <x:c r="A159" s="138"/>
      <x:c r="B159" s="138"/>
      <x:c r="C159" s="138"/>
      <x:c r="D159" s="138"/>
      <x:c r="E159" s="138"/>
      <x:c r="F159" s="138"/>
      <x:c r="G159" s="138"/>
      <x:c r="H159" s="138"/>
      <x:c r="I159" s="138"/>
      <x:c r="J159" s="138"/>
      <x:c r="K159" s="138"/>
      <x:c r="L159" s="138"/>
      <x:c r="M159" s="138"/>
      <x:c r="N159" s="138"/>
      <x:c r="O159" s="138"/>
      <x:c r="P159" s="138"/>
      <x:c r="Q159" s="138"/>
      <x:c r="R159" s="138"/>
      <x:c r="S159" s="138"/>
      <x:c r="T159" s="138"/>
      <x:c r="U159" s="138"/>
      <x:c r="V159" s="138"/>
      <x:c r="W159" s="138"/>
      <x:c r="X159" s="138"/>
      <x:c r="Y159" s="138"/>
      <x:c r="Z159" s="138"/>
    </x:row>
    <x:row r="160">
      <x:c r="A160" s="138"/>
      <x:c r="B160" s="138"/>
      <x:c r="C160" s="138"/>
      <x:c r="D160" s="138"/>
      <x:c r="E160" s="138"/>
      <x:c r="F160" s="138"/>
      <x:c r="G160" s="138"/>
      <x:c r="H160" s="138"/>
      <x:c r="I160" s="138"/>
      <x:c r="J160" s="138"/>
      <x:c r="K160" s="138"/>
      <x:c r="L160" s="138"/>
      <x:c r="M160" s="138"/>
      <x:c r="N160" s="138"/>
      <x:c r="O160" s="138"/>
      <x:c r="P160" s="138"/>
      <x:c r="Q160" s="138"/>
      <x:c r="R160" s="138"/>
      <x:c r="S160" s="138"/>
      <x:c r="T160" s="138"/>
      <x:c r="U160" s="138"/>
      <x:c r="V160" s="138"/>
      <x:c r="W160" s="138"/>
      <x:c r="X160" s="138"/>
      <x:c r="Y160" s="138"/>
      <x:c r="Z160" s="138"/>
    </x:row>
    <x:row r="161">
      <x:c r="A161" s="138"/>
      <x:c r="B161" s="138"/>
      <x:c r="C161" s="138"/>
      <x:c r="D161" s="138"/>
      <x:c r="E161" s="138"/>
      <x:c r="F161" s="138"/>
      <x:c r="G161" s="138"/>
      <x:c r="H161" s="138"/>
      <x:c r="I161" s="138"/>
      <x:c r="J161" s="138"/>
      <x:c r="K161" s="138"/>
      <x:c r="L161" s="138"/>
      <x:c r="M161" s="138"/>
      <x:c r="N161" s="138"/>
      <x:c r="O161" s="138"/>
      <x:c r="P161" s="138"/>
      <x:c r="Q161" s="138"/>
      <x:c r="R161" s="138"/>
      <x:c r="S161" s="138"/>
      <x:c r="T161" s="138"/>
      <x:c r="U161" s="138"/>
      <x:c r="V161" s="138"/>
      <x:c r="W161" s="138"/>
      <x:c r="X161" s="138"/>
      <x:c r="Y161" s="138"/>
      <x:c r="Z161" s="138"/>
    </x:row>
    <x:row r="162">
      <x:c r="A162" s="138"/>
      <x:c r="B162" s="138"/>
      <x:c r="C162" s="138"/>
      <x:c r="D162" s="138"/>
      <x:c r="E162" s="138"/>
      <x:c r="F162" s="138"/>
      <x:c r="G162" s="138"/>
      <x:c r="H162" s="138"/>
      <x:c r="I162" s="138"/>
      <x:c r="J162" s="138"/>
      <x:c r="K162" s="138"/>
      <x:c r="L162" s="138"/>
      <x:c r="M162" s="138"/>
      <x:c r="N162" s="138"/>
      <x:c r="O162" s="138"/>
      <x:c r="P162" s="138"/>
      <x:c r="Q162" s="138"/>
      <x:c r="R162" s="138"/>
      <x:c r="S162" s="138"/>
      <x:c r="T162" s="138"/>
      <x:c r="U162" s="138"/>
      <x:c r="V162" s="138"/>
      <x:c r="W162" s="138"/>
      <x:c r="X162" s="138"/>
      <x:c r="Y162" s="138"/>
      <x:c r="Z162" s="138"/>
    </x:row>
    <x:row r="163">
      <x:c r="A163" s="138"/>
      <x:c r="B163" s="138"/>
      <x:c r="C163" s="138"/>
      <x:c r="D163" s="138"/>
      <x:c r="E163" s="138"/>
      <x:c r="F163" s="138"/>
      <x:c r="G163" s="138"/>
      <x:c r="H163" s="138"/>
      <x:c r="I163" s="138"/>
      <x:c r="J163" s="138"/>
      <x:c r="K163" s="138"/>
      <x:c r="L163" s="138"/>
      <x:c r="M163" s="138"/>
      <x:c r="N163" s="138"/>
      <x:c r="O163" s="138"/>
      <x:c r="P163" s="138"/>
      <x:c r="Q163" s="138"/>
      <x:c r="R163" s="138"/>
      <x:c r="S163" s="138"/>
      <x:c r="T163" s="138"/>
      <x:c r="U163" s="138"/>
      <x:c r="V163" s="138"/>
      <x:c r="W163" s="138"/>
      <x:c r="X163" s="138"/>
      <x:c r="Y163" s="138"/>
      <x:c r="Z163" s="138"/>
    </x:row>
    <x:row r="164">
      <x:c r="A164" s="138"/>
      <x:c r="B164" s="138"/>
      <x:c r="C164" s="138"/>
      <x:c r="D164" s="138"/>
      <x:c r="E164" s="138"/>
      <x:c r="F164" s="138"/>
      <x:c r="G164" s="138"/>
      <x:c r="H164" s="138"/>
      <x:c r="I164" s="138"/>
      <x:c r="J164" s="138"/>
      <x:c r="K164" s="138"/>
      <x:c r="L164" s="138"/>
      <x:c r="M164" s="138"/>
      <x:c r="N164" s="138"/>
      <x:c r="O164" s="138"/>
      <x:c r="P164" s="138"/>
      <x:c r="Q164" s="138"/>
      <x:c r="R164" s="138"/>
      <x:c r="S164" s="138"/>
      <x:c r="T164" s="138"/>
      <x:c r="U164" s="138"/>
      <x:c r="V164" s="138"/>
      <x:c r="W164" s="138"/>
      <x:c r="X164" s="138"/>
      <x:c r="Y164" s="138"/>
      <x:c r="Z164" s="138"/>
    </x:row>
    <x:row r="165">
      <x:c r="A165" s="138"/>
      <x:c r="B165" s="138"/>
      <x:c r="C165" s="138"/>
      <x:c r="D165" s="138"/>
      <x:c r="E165" s="138"/>
      <x:c r="F165" s="138"/>
      <x:c r="G165" s="138"/>
      <x:c r="H165" s="138"/>
      <x:c r="I165" s="138"/>
      <x:c r="J165" s="138"/>
      <x:c r="K165" s="138"/>
      <x:c r="L165" s="138"/>
      <x:c r="M165" s="138"/>
      <x:c r="N165" s="138"/>
      <x:c r="O165" s="138"/>
      <x:c r="P165" s="138"/>
      <x:c r="Q165" s="138"/>
      <x:c r="R165" s="138"/>
      <x:c r="S165" s="138"/>
      <x:c r="T165" s="138"/>
      <x:c r="U165" s="138"/>
      <x:c r="V165" s="138"/>
      <x:c r="W165" s="138"/>
      <x:c r="X165" s="138"/>
      <x:c r="Y165" s="138"/>
      <x:c r="Z165" s="138"/>
    </x:row>
    <x:row r="166">
      <x:c r="A166" s="138"/>
      <x:c r="B166" s="138"/>
      <x:c r="C166" s="138"/>
      <x:c r="D166" s="138"/>
      <x:c r="E166" s="138"/>
      <x:c r="F166" s="138"/>
      <x:c r="G166" s="138"/>
      <x:c r="H166" s="138"/>
      <x:c r="I166" s="138"/>
      <x:c r="J166" s="138"/>
      <x:c r="K166" s="138"/>
      <x:c r="L166" s="138"/>
      <x:c r="M166" s="138"/>
      <x:c r="N166" s="138"/>
      <x:c r="O166" s="138"/>
      <x:c r="P166" s="138"/>
      <x:c r="Q166" s="138"/>
      <x:c r="R166" s="138"/>
      <x:c r="S166" s="138"/>
      <x:c r="T166" s="138"/>
      <x:c r="U166" s="138"/>
      <x:c r="V166" s="138"/>
      <x:c r="W166" s="138"/>
      <x:c r="X166" s="138"/>
      <x:c r="Y166" s="138"/>
      <x:c r="Z166" s="138"/>
    </x:row>
    <x:row r="167">
      <x:c r="A167" s="138"/>
      <x:c r="B167" s="138"/>
      <x:c r="C167" s="138"/>
      <x:c r="D167" s="138"/>
      <x:c r="E167" s="138"/>
      <x:c r="F167" s="138"/>
      <x:c r="G167" s="138"/>
      <x:c r="H167" s="138"/>
      <x:c r="I167" s="138"/>
      <x:c r="J167" s="138"/>
      <x:c r="K167" s="138"/>
      <x:c r="L167" s="138"/>
      <x:c r="M167" s="138"/>
      <x:c r="N167" s="138"/>
      <x:c r="O167" s="138"/>
      <x:c r="P167" s="138"/>
      <x:c r="Q167" s="138"/>
      <x:c r="R167" s="138"/>
      <x:c r="S167" s="138"/>
      <x:c r="T167" s="138"/>
      <x:c r="U167" s="138"/>
      <x:c r="V167" s="138"/>
      <x:c r="W167" s="138"/>
      <x:c r="X167" s="138"/>
      <x:c r="Y167" s="138"/>
      <x:c r="Z167" s="138"/>
    </x:row>
    <x:row r="168">
      <x:c r="A168" s="138"/>
      <x:c r="B168" s="138"/>
      <x:c r="C168" s="138"/>
      <x:c r="D168" s="138"/>
      <x:c r="E168" s="138"/>
      <x:c r="F168" s="138"/>
      <x:c r="G168" s="138"/>
      <x:c r="H168" s="138"/>
      <x:c r="I168" s="138"/>
      <x:c r="J168" s="138"/>
      <x:c r="K168" s="138"/>
      <x:c r="L168" s="138"/>
      <x:c r="M168" s="138"/>
      <x:c r="N168" s="138"/>
      <x:c r="O168" s="138"/>
      <x:c r="P168" s="138"/>
      <x:c r="Q168" s="138"/>
      <x:c r="R168" s="138"/>
      <x:c r="S168" s="138"/>
      <x:c r="T168" s="138"/>
      <x:c r="U168" s="138"/>
      <x:c r="V168" s="138"/>
      <x:c r="W168" s="138"/>
      <x:c r="X168" s="138"/>
      <x:c r="Y168" s="138"/>
      <x:c r="Z168" s="138"/>
    </x:row>
    <x:row r="169">
      <x:c r="A169" s="138"/>
      <x:c r="B169" s="138"/>
      <x:c r="C169" s="138"/>
      <x:c r="D169" s="138"/>
      <x:c r="E169" s="138"/>
      <x:c r="F169" s="138"/>
      <x:c r="G169" s="138"/>
      <x:c r="H169" s="138"/>
      <x:c r="I169" s="138"/>
      <x:c r="J169" s="138"/>
      <x:c r="K169" s="138"/>
      <x:c r="L169" s="138"/>
      <x:c r="M169" s="138"/>
      <x:c r="N169" s="138"/>
      <x:c r="O169" s="138"/>
      <x:c r="P169" s="138"/>
      <x:c r="Q169" s="138"/>
      <x:c r="R169" s="138"/>
      <x:c r="S169" s="138"/>
      <x:c r="T169" s="138"/>
      <x:c r="U169" s="138"/>
      <x:c r="V169" s="138"/>
      <x:c r="W169" s="138"/>
      <x:c r="X169" s="138"/>
      <x:c r="Y169" s="138"/>
      <x:c r="Z169" s="138"/>
    </x:row>
    <x:row r="170">
      <x:c r="A170" s="138"/>
      <x:c r="B170" s="138"/>
      <x:c r="C170" s="138"/>
      <x:c r="D170" s="138"/>
      <x:c r="E170" s="138"/>
      <x:c r="F170" s="138"/>
      <x:c r="G170" s="138"/>
      <x:c r="H170" s="138"/>
      <x:c r="I170" s="138"/>
      <x:c r="J170" s="138"/>
      <x:c r="K170" s="138"/>
      <x:c r="L170" s="138"/>
      <x:c r="M170" s="138"/>
      <x:c r="N170" s="138"/>
      <x:c r="O170" s="138"/>
      <x:c r="P170" s="138"/>
      <x:c r="Q170" s="138"/>
      <x:c r="R170" s="138"/>
      <x:c r="S170" s="138"/>
      <x:c r="T170" s="138"/>
      <x:c r="U170" s="138"/>
      <x:c r="V170" s="138"/>
      <x:c r="W170" s="138"/>
      <x:c r="X170" s="138"/>
      <x:c r="Y170" s="138"/>
      <x:c r="Z170" s="138"/>
    </x:row>
    <x:row r="171">
      <x:c r="A171" s="138"/>
      <x:c r="B171" s="138"/>
      <x:c r="C171" s="138"/>
      <x:c r="D171" s="138"/>
      <x:c r="E171" s="138"/>
      <x:c r="F171" s="138"/>
      <x:c r="G171" s="138"/>
      <x:c r="H171" s="138"/>
      <x:c r="I171" s="138"/>
      <x:c r="J171" s="138"/>
      <x:c r="K171" s="138"/>
      <x:c r="L171" s="138"/>
      <x:c r="M171" s="138"/>
      <x:c r="N171" s="138"/>
      <x:c r="O171" s="138"/>
      <x:c r="P171" s="138"/>
      <x:c r="Q171" s="138"/>
      <x:c r="R171" s="138"/>
      <x:c r="S171" s="138"/>
      <x:c r="T171" s="138"/>
      <x:c r="U171" s="138"/>
      <x:c r="V171" s="138"/>
      <x:c r="W171" s="138"/>
      <x:c r="X171" s="138"/>
      <x:c r="Y171" s="138"/>
      <x:c r="Z171" s="138"/>
    </x:row>
    <x:row r="172">
      <x:c r="A172" s="138"/>
      <x:c r="B172" s="138"/>
      <x:c r="C172" s="138"/>
      <x:c r="D172" s="138"/>
      <x:c r="E172" s="138"/>
      <x:c r="F172" s="138"/>
      <x:c r="G172" s="138"/>
      <x:c r="H172" s="138"/>
      <x:c r="I172" s="138"/>
      <x:c r="J172" s="138"/>
      <x:c r="K172" s="138"/>
      <x:c r="L172" s="138"/>
      <x:c r="M172" s="138"/>
      <x:c r="N172" s="138"/>
      <x:c r="O172" s="138"/>
      <x:c r="P172" s="138"/>
      <x:c r="Q172" s="138"/>
      <x:c r="R172" s="138"/>
      <x:c r="S172" s="138"/>
      <x:c r="T172" s="138"/>
      <x:c r="U172" s="138"/>
      <x:c r="V172" s="138"/>
      <x:c r="W172" s="138"/>
      <x:c r="X172" s="138"/>
      <x:c r="Y172" s="138"/>
      <x:c r="Z172" s="138"/>
    </x:row>
    <x:row r="173">
      <x:c r="A173" s="138"/>
      <x:c r="B173" s="138"/>
      <x:c r="C173" s="138"/>
      <x:c r="D173" s="138"/>
      <x:c r="E173" s="138"/>
      <x:c r="F173" s="138"/>
      <x:c r="G173" s="138"/>
      <x:c r="H173" s="138"/>
      <x:c r="I173" s="138"/>
      <x:c r="J173" s="138"/>
      <x:c r="K173" s="138"/>
      <x:c r="L173" s="138"/>
      <x:c r="M173" s="138"/>
      <x:c r="N173" s="138"/>
      <x:c r="O173" s="138"/>
      <x:c r="P173" s="138"/>
      <x:c r="Q173" s="138"/>
      <x:c r="R173" s="138"/>
      <x:c r="S173" s="138"/>
      <x:c r="T173" s="138"/>
      <x:c r="U173" s="138"/>
      <x:c r="V173" s="138"/>
      <x:c r="W173" s="138"/>
      <x:c r="X173" s="138"/>
      <x:c r="Y173" s="138"/>
      <x:c r="Z173" s="138"/>
    </x:row>
    <x:row r="174">
      <x:c r="A174" s="138"/>
      <x:c r="B174" s="138"/>
      <x:c r="C174" s="138"/>
      <x:c r="D174" s="138"/>
      <x:c r="E174" s="138"/>
      <x:c r="F174" s="138"/>
      <x:c r="G174" s="138"/>
      <x:c r="H174" s="138"/>
      <x:c r="I174" s="138"/>
      <x:c r="J174" s="138"/>
      <x:c r="K174" s="138"/>
      <x:c r="L174" s="138"/>
      <x:c r="M174" s="138"/>
      <x:c r="N174" s="138"/>
      <x:c r="O174" s="138"/>
      <x:c r="P174" s="138"/>
      <x:c r="Q174" s="138"/>
      <x:c r="R174" s="138"/>
      <x:c r="S174" s="138"/>
      <x:c r="T174" s="138"/>
      <x:c r="U174" s="138"/>
      <x:c r="V174" s="138"/>
      <x:c r="W174" s="138"/>
      <x:c r="X174" s="138"/>
      <x:c r="Y174" s="138"/>
      <x:c r="Z174" s="138"/>
    </x:row>
    <x:row r="175">
      <x:c r="A175" s="138"/>
      <x:c r="B175" s="138"/>
      <x:c r="C175" s="138"/>
      <x:c r="D175" s="138"/>
      <x:c r="E175" s="138"/>
      <x:c r="F175" s="138"/>
      <x:c r="G175" s="138"/>
      <x:c r="H175" s="138"/>
      <x:c r="I175" s="138"/>
      <x:c r="J175" s="138"/>
      <x:c r="K175" s="138"/>
      <x:c r="L175" s="138"/>
      <x:c r="M175" s="138"/>
      <x:c r="N175" s="138"/>
      <x:c r="O175" s="138"/>
      <x:c r="P175" s="138"/>
      <x:c r="Q175" s="138"/>
      <x:c r="R175" s="138"/>
      <x:c r="S175" s="138"/>
      <x:c r="T175" s="138"/>
      <x:c r="U175" s="138"/>
      <x:c r="V175" s="138"/>
      <x:c r="W175" s="138"/>
      <x:c r="X175" s="138"/>
      <x:c r="Y175" s="138"/>
      <x:c r="Z175" s="138"/>
    </x:row>
    <x:row r="176">
      <x:c r="A176" s="138"/>
      <x:c r="B176" s="138"/>
      <x:c r="C176" s="138"/>
      <x:c r="D176" s="138"/>
      <x:c r="E176" s="138"/>
      <x:c r="F176" s="138"/>
      <x:c r="G176" s="138"/>
      <x:c r="H176" s="138"/>
      <x:c r="I176" s="138"/>
      <x:c r="J176" s="138"/>
      <x:c r="K176" s="138"/>
      <x:c r="L176" s="138"/>
      <x:c r="M176" s="138"/>
      <x:c r="N176" s="138"/>
      <x:c r="O176" s="138"/>
      <x:c r="P176" s="138"/>
      <x:c r="Q176" s="138"/>
      <x:c r="R176" s="138"/>
      <x:c r="S176" s="138"/>
      <x:c r="T176" s="138"/>
      <x:c r="U176" s="138"/>
      <x:c r="V176" s="138"/>
      <x:c r="W176" s="138"/>
      <x:c r="X176" s="138"/>
      <x:c r="Y176" s="138"/>
      <x:c r="Z176" s="138"/>
    </x:row>
    <x:row r="177">
      <x:c r="A177" s="138"/>
      <x:c r="B177" s="138"/>
      <x:c r="C177" s="138"/>
      <x:c r="D177" s="138"/>
      <x:c r="E177" s="138"/>
      <x:c r="F177" s="138"/>
      <x:c r="G177" s="138"/>
      <x:c r="H177" s="138"/>
      <x:c r="I177" s="138"/>
      <x:c r="J177" s="138"/>
      <x:c r="K177" s="138"/>
      <x:c r="L177" s="138"/>
      <x:c r="M177" s="138"/>
      <x:c r="N177" s="138"/>
      <x:c r="O177" s="138"/>
      <x:c r="P177" s="138"/>
      <x:c r="Q177" s="138"/>
      <x:c r="R177" s="138"/>
      <x:c r="S177" s="138"/>
      <x:c r="T177" s="138"/>
      <x:c r="U177" s="138"/>
      <x:c r="V177" s="138"/>
      <x:c r="W177" s="138"/>
      <x:c r="X177" s="138"/>
      <x:c r="Y177" s="138"/>
      <x:c r="Z177" s="138"/>
    </x:row>
    <x:row r="178">
      <x:c r="A178" s="138"/>
      <x:c r="B178" s="138"/>
      <x:c r="C178" s="138"/>
      <x:c r="D178" s="138"/>
      <x:c r="E178" s="138"/>
      <x:c r="F178" s="138"/>
      <x:c r="G178" s="138"/>
      <x:c r="H178" s="138"/>
      <x:c r="I178" s="138"/>
      <x:c r="J178" s="138"/>
      <x:c r="K178" s="138"/>
      <x:c r="L178" s="138"/>
      <x:c r="M178" s="138"/>
      <x:c r="N178" s="138"/>
      <x:c r="O178" s="138"/>
      <x:c r="P178" s="138"/>
      <x:c r="Q178" s="138"/>
      <x:c r="R178" s="138"/>
      <x:c r="S178" s="138"/>
      <x:c r="T178" s="138"/>
      <x:c r="U178" s="138"/>
      <x:c r="V178" s="138"/>
      <x:c r="W178" s="138"/>
      <x:c r="X178" s="138"/>
      <x:c r="Y178" s="138"/>
      <x:c r="Z178" s="138"/>
    </x:row>
    <x:row r="179">
      <x:c r="A179" s="138"/>
      <x:c r="B179" s="138"/>
      <x:c r="C179" s="138"/>
      <x:c r="D179" s="138"/>
      <x:c r="E179" s="138"/>
      <x:c r="F179" s="138"/>
      <x:c r="G179" s="138"/>
      <x:c r="H179" s="138"/>
      <x:c r="I179" s="138"/>
      <x:c r="J179" s="138"/>
      <x:c r="K179" s="138"/>
      <x:c r="L179" s="138"/>
      <x:c r="M179" s="138"/>
      <x:c r="N179" s="138"/>
      <x:c r="O179" s="138"/>
      <x:c r="P179" s="138"/>
      <x:c r="Q179" s="138"/>
      <x:c r="R179" s="138"/>
      <x:c r="S179" s="138"/>
      <x:c r="T179" s="138"/>
      <x:c r="U179" s="138"/>
      <x:c r="V179" s="138"/>
      <x:c r="W179" s="138"/>
      <x:c r="X179" s="138"/>
      <x:c r="Y179" s="138"/>
      <x:c r="Z179" s="138"/>
    </x:row>
    <x:row r="180">
      <x:c r="A180" s="138"/>
      <x:c r="B180" s="138"/>
      <x:c r="C180" s="138"/>
      <x:c r="D180" s="138"/>
      <x:c r="E180" s="138"/>
      <x:c r="F180" s="138"/>
      <x:c r="G180" s="138"/>
      <x:c r="H180" s="138"/>
      <x:c r="I180" s="138"/>
      <x:c r="J180" s="138"/>
      <x:c r="K180" s="138"/>
      <x:c r="L180" s="138"/>
      <x:c r="M180" s="138"/>
      <x:c r="N180" s="138"/>
      <x:c r="O180" s="138"/>
      <x:c r="P180" s="138"/>
      <x:c r="Q180" s="138"/>
      <x:c r="R180" s="138"/>
      <x:c r="S180" s="138"/>
      <x:c r="T180" s="138"/>
      <x:c r="U180" s="138"/>
      <x:c r="V180" s="138"/>
      <x:c r="W180" s="138"/>
      <x:c r="X180" s="138"/>
      <x:c r="Y180" s="138"/>
      <x:c r="Z180" s="138"/>
    </x:row>
    <x:row r="181">
      <x:c r="A181" s="138"/>
      <x:c r="B181" s="138"/>
      <x:c r="C181" s="138"/>
      <x:c r="D181" s="138"/>
      <x:c r="E181" s="138"/>
      <x:c r="F181" s="138"/>
      <x:c r="G181" s="138"/>
      <x:c r="H181" s="138"/>
      <x:c r="I181" s="138"/>
      <x:c r="J181" s="138"/>
      <x:c r="K181" s="138"/>
      <x:c r="L181" s="138"/>
      <x:c r="M181" s="138"/>
      <x:c r="N181" s="138"/>
      <x:c r="O181" s="138"/>
      <x:c r="P181" s="138"/>
      <x:c r="Q181" s="138"/>
      <x:c r="R181" s="138"/>
      <x:c r="S181" s="138"/>
      <x:c r="T181" s="138"/>
      <x:c r="U181" s="138"/>
      <x:c r="V181" s="138"/>
      <x:c r="W181" s="138"/>
      <x:c r="X181" s="138"/>
      <x:c r="Y181" s="138"/>
      <x:c r="Z181" s="138"/>
    </x:row>
    <x:row r="182">
      <x:c r="A182" s="138"/>
      <x:c r="B182" s="138"/>
      <x:c r="C182" s="138"/>
      <x:c r="D182" s="138"/>
      <x:c r="E182" s="138"/>
      <x:c r="F182" s="138"/>
      <x:c r="G182" s="138"/>
      <x:c r="H182" s="138"/>
      <x:c r="I182" s="138"/>
      <x:c r="J182" s="138"/>
      <x:c r="K182" s="138"/>
      <x:c r="L182" s="138"/>
      <x:c r="M182" s="138"/>
      <x:c r="N182" s="138"/>
      <x:c r="O182" s="138"/>
      <x:c r="P182" s="138"/>
      <x:c r="Q182" s="138"/>
      <x:c r="R182" s="138"/>
      <x:c r="S182" s="138"/>
      <x:c r="T182" s="138"/>
      <x:c r="U182" s="138"/>
      <x:c r="V182" s="138"/>
      <x:c r="W182" s="138"/>
      <x:c r="X182" s="138"/>
      <x:c r="Y182" s="138"/>
      <x:c r="Z182" s="138"/>
    </x:row>
    <x:row r="183">
      <x:c r="A183" s="138"/>
      <x:c r="B183" s="138"/>
      <x:c r="C183" s="138"/>
      <x:c r="D183" s="138"/>
      <x:c r="E183" s="138"/>
      <x:c r="F183" s="138"/>
      <x:c r="G183" s="138"/>
      <x:c r="H183" s="138"/>
      <x:c r="I183" s="138"/>
      <x:c r="J183" s="138"/>
      <x:c r="K183" s="138"/>
      <x:c r="L183" s="138"/>
      <x:c r="M183" s="138"/>
      <x:c r="N183" s="138"/>
      <x:c r="O183" s="138"/>
      <x:c r="P183" s="138"/>
      <x:c r="Q183" s="138"/>
      <x:c r="R183" s="138"/>
      <x:c r="S183" s="138"/>
      <x:c r="T183" s="138"/>
      <x:c r="U183" s="138"/>
      <x:c r="V183" s="138"/>
      <x:c r="W183" s="138"/>
      <x:c r="X183" s="138"/>
      <x:c r="Y183" s="138"/>
      <x:c r="Z183" s="138"/>
    </x:row>
    <x:row r="184">
      <x:c r="A184" s="138"/>
      <x:c r="B184" s="138"/>
      <x:c r="C184" s="138"/>
      <x:c r="D184" s="138"/>
      <x:c r="E184" s="138"/>
      <x:c r="F184" s="138"/>
      <x:c r="G184" s="138"/>
      <x:c r="H184" s="138"/>
      <x:c r="I184" s="138"/>
      <x:c r="J184" s="138"/>
      <x:c r="K184" s="138"/>
      <x:c r="L184" s="138"/>
      <x:c r="M184" s="138"/>
      <x:c r="N184" s="138"/>
      <x:c r="O184" s="138"/>
      <x:c r="P184" s="138"/>
      <x:c r="Q184" s="138"/>
      <x:c r="R184" s="138"/>
      <x:c r="S184" s="138"/>
      <x:c r="T184" s="138"/>
      <x:c r="U184" s="138"/>
      <x:c r="V184" s="138"/>
      <x:c r="W184" s="138"/>
      <x:c r="X184" s="138"/>
      <x:c r="Y184" s="138"/>
      <x:c r="Z184" s="138"/>
    </x:row>
    <x:row r="185">
      <x:c r="A185" s="138"/>
      <x:c r="B185" s="138"/>
      <x:c r="C185" s="138"/>
      <x:c r="D185" s="138"/>
      <x:c r="E185" s="138"/>
      <x:c r="F185" s="138"/>
      <x:c r="G185" s="138"/>
      <x:c r="H185" s="138"/>
      <x:c r="I185" s="138"/>
      <x:c r="J185" s="138"/>
      <x:c r="K185" s="138"/>
      <x:c r="L185" s="138"/>
      <x:c r="M185" s="138"/>
      <x:c r="N185" s="138"/>
      <x:c r="O185" s="138"/>
      <x:c r="P185" s="138"/>
      <x:c r="Q185" s="138"/>
      <x:c r="R185" s="138"/>
      <x:c r="S185" s="138"/>
      <x:c r="T185" s="138"/>
      <x:c r="U185" s="138"/>
      <x:c r="V185" s="138"/>
      <x:c r="W185" s="138"/>
      <x:c r="X185" s="138"/>
      <x:c r="Y185" s="138"/>
      <x:c r="Z185" s="138"/>
    </x:row>
    <x:row r="186">
      <x:c r="A186" s="138"/>
      <x:c r="B186" s="138"/>
      <x:c r="C186" s="138"/>
      <x:c r="D186" s="138"/>
      <x:c r="E186" s="138"/>
      <x:c r="F186" s="138"/>
      <x:c r="G186" s="138"/>
      <x:c r="H186" s="138"/>
      <x:c r="I186" s="138"/>
      <x:c r="J186" s="138"/>
      <x:c r="K186" s="138"/>
      <x:c r="L186" s="138"/>
      <x:c r="M186" s="138"/>
      <x:c r="N186" s="138"/>
      <x:c r="O186" s="138"/>
      <x:c r="P186" s="138"/>
      <x:c r="Q186" s="138"/>
      <x:c r="R186" s="138"/>
      <x:c r="S186" s="138"/>
      <x:c r="T186" s="138"/>
      <x:c r="U186" s="138"/>
      <x:c r="V186" s="138"/>
      <x:c r="W186" s="138"/>
      <x:c r="X186" s="138"/>
      <x:c r="Y186" s="138"/>
      <x:c r="Z186" s="138"/>
    </x:row>
    <x:row r="187">
      <x:c r="A187" s="138"/>
      <x:c r="B187" s="138"/>
      <x:c r="C187" s="138"/>
      <x:c r="D187" s="138"/>
      <x:c r="E187" s="138"/>
      <x:c r="F187" s="138"/>
      <x:c r="G187" s="138"/>
      <x:c r="H187" s="138"/>
      <x:c r="I187" s="138"/>
      <x:c r="J187" s="138"/>
      <x:c r="K187" s="138"/>
      <x:c r="L187" s="138"/>
      <x:c r="M187" s="138"/>
      <x:c r="N187" s="138"/>
      <x:c r="O187" s="138"/>
      <x:c r="P187" s="138"/>
      <x:c r="Q187" s="138"/>
      <x:c r="R187" s="138"/>
      <x:c r="S187" s="138"/>
      <x:c r="T187" s="138"/>
      <x:c r="U187" s="138"/>
      <x:c r="V187" s="138"/>
      <x:c r="W187" s="138"/>
      <x:c r="X187" s="138"/>
      <x:c r="Y187" s="138"/>
      <x:c r="Z187" s="138"/>
    </x:row>
    <x:row r="188">
      <x:c r="A188" s="138"/>
      <x:c r="B188" s="138"/>
      <x:c r="C188" s="138"/>
      <x:c r="D188" s="138"/>
      <x:c r="E188" s="138"/>
      <x:c r="F188" s="138"/>
      <x:c r="G188" s="138"/>
      <x:c r="H188" s="138"/>
      <x:c r="I188" s="138"/>
      <x:c r="J188" s="138"/>
      <x:c r="K188" s="138"/>
      <x:c r="L188" s="138"/>
      <x:c r="M188" s="138"/>
      <x:c r="N188" s="138"/>
      <x:c r="O188" s="138"/>
      <x:c r="P188" s="138"/>
      <x:c r="Q188" s="138"/>
      <x:c r="R188" s="138"/>
      <x:c r="S188" s="138"/>
      <x:c r="T188" s="138"/>
      <x:c r="U188" s="138"/>
      <x:c r="V188" s="138"/>
      <x:c r="W188" s="138"/>
      <x:c r="X188" s="138"/>
      <x:c r="Y188" s="138"/>
      <x:c r="Z188" s="138"/>
    </x:row>
    <x:row r="189">
      <x:c r="A189" s="138"/>
      <x:c r="B189" s="138"/>
      <x:c r="C189" s="138"/>
      <x:c r="D189" s="138"/>
      <x:c r="E189" s="138"/>
      <x:c r="F189" s="138"/>
      <x:c r="G189" s="138"/>
      <x:c r="H189" s="138"/>
      <x:c r="I189" s="138"/>
      <x:c r="J189" s="138"/>
      <x:c r="K189" s="138"/>
      <x:c r="L189" s="138"/>
      <x:c r="M189" s="138"/>
      <x:c r="N189" s="138"/>
      <x:c r="O189" s="138"/>
      <x:c r="P189" s="138"/>
      <x:c r="Q189" s="138"/>
      <x:c r="R189" s="138"/>
      <x:c r="S189" s="138"/>
      <x:c r="T189" s="138"/>
      <x:c r="U189" s="138"/>
      <x:c r="V189" s="138"/>
      <x:c r="W189" s="138"/>
      <x:c r="X189" s="138"/>
      <x:c r="Y189" s="138"/>
      <x:c r="Z189" s="138"/>
    </x:row>
    <x:row r="190">
      <x:c r="A190" s="138"/>
      <x:c r="B190" s="138"/>
      <x:c r="C190" s="138"/>
      <x:c r="D190" s="138"/>
      <x:c r="E190" s="138"/>
      <x:c r="F190" s="138"/>
      <x:c r="G190" s="138"/>
      <x:c r="H190" s="138"/>
      <x:c r="I190" s="138"/>
      <x:c r="J190" s="138"/>
      <x:c r="K190" s="138"/>
      <x:c r="L190" s="138"/>
      <x:c r="M190" s="138"/>
      <x:c r="N190" s="138"/>
      <x:c r="O190" s="138"/>
      <x:c r="P190" s="138"/>
      <x:c r="Q190" s="138"/>
      <x:c r="R190" s="138"/>
      <x:c r="S190" s="138"/>
      <x:c r="T190" s="138"/>
      <x:c r="U190" s="138"/>
      <x:c r="V190" s="138"/>
      <x:c r="W190" s="138"/>
      <x:c r="X190" s="138"/>
      <x:c r="Y190" s="138"/>
      <x:c r="Z190" s="138"/>
    </x:row>
    <x:row r="191">
      <x:c r="A191" s="138"/>
      <x:c r="B191" s="138"/>
      <x:c r="C191" s="138"/>
      <x:c r="D191" s="138"/>
      <x:c r="E191" s="138"/>
      <x:c r="F191" s="138"/>
      <x:c r="G191" s="138"/>
      <x:c r="H191" s="138"/>
      <x:c r="I191" s="138"/>
      <x:c r="J191" s="138"/>
      <x:c r="K191" s="138"/>
      <x:c r="L191" s="138"/>
      <x:c r="M191" s="138"/>
      <x:c r="N191" s="138"/>
      <x:c r="O191" s="138"/>
      <x:c r="P191" s="138"/>
      <x:c r="Q191" s="138"/>
      <x:c r="R191" s="138"/>
      <x:c r="S191" s="138"/>
      <x:c r="T191" s="138"/>
      <x:c r="U191" s="138"/>
      <x:c r="V191" s="138"/>
      <x:c r="W191" s="138"/>
      <x:c r="X191" s="138"/>
      <x:c r="Y191" s="138"/>
      <x:c r="Z191" s="138"/>
    </x:row>
    <x:row r="192">
      <x:c r="A192" s="138"/>
      <x:c r="B192" s="138"/>
      <x:c r="C192" s="138"/>
      <x:c r="D192" s="138"/>
      <x:c r="E192" s="138"/>
      <x:c r="F192" s="138"/>
      <x:c r="G192" s="138"/>
      <x:c r="H192" s="138"/>
      <x:c r="I192" s="138"/>
      <x:c r="J192" s="138"/>
      <x:c r="K192" s="138"/>
      <x:c r="L192" s="138"/>
      <x:c r="M192" s="138"/>
      <x:c r="N192" s="138"/>
      <x:c r="O192" s="138"/>
      <x:c r="P192" s="138"/>
      <x:c r="Q192" s="138"/>
      <x:c r="R192" s="138"/>
      <x:c r="S192" s="138"/>
      <x:c r="T192" s="138"/>
      <x:c r="U192" s="138"/>
      <x:c r="V192" s="138"/>
      <x:c r="W192" s="138"/>
      <x:c r="X192" s="138"/>
      <x:c r="Y192" s="138"/>
      <x:c r="Z192" s="138"/>
    </x:row>
    <x:row r="193">
      <x:c r="A193" s="138"/>
      <x:c r="B193" s="138"/>
      <x:c r="C193" s="138"/>
      <x:c r="D193" s="138"/>
      <x:c r="E193" s="138"/>
      <x:c r="F193" s="138"/>
      <x:c r="G193" s="138"/>
      <x:c r="H193" s="138"/>
      <x:c r="I193" s="138"/>
      <x:c r="J193" s="138"/>
      <x:c r="K193" s="138"/>
      <x:c r="L193" s="138"/>
      <x:c r="M193" s="138"/>
      <x:c r="N193" s="138"/>
      <x:c r="O193" s="138"/>
      <x:c r="P193" s="138"/>
      <x:c r="Q193" s="138"/>
      <x:c r="R193" s="138"/>
      <x:c r="S193" s="138"/>
      <x:c r="T193" s="138"/>
      <x:c r="U193" s="138"/>
      <x:c r="V193" s="138"/>
      <x:c r="W193" s="138"/>
      <x:c r="X193" s="138"/>
      <x:c r="Y193" s="138"/>
      <x:c r="Z193" s="138"/>
    </x:row>
    <x:row r="194">
      <x:c r="A194" s="138"/>
      <x:c r="B194" s="138"/>
      <x:c r="C194" s="138"/>
      <x:c r="D194" s="138"/>
      <x:c r="E194" s="138"/>
      <x:c r="F194" s="138"/>
      <x:c r="G194" s="138"/>
      <x:c r="H194" s="138"/>
      <x:c r="I194" s="138"/>
      <x:c r="J194" s="138"/>
      <x:c r="K194" s="138"/>
      <x:c r="L194" s="138"/>
      <x:c r="M194" s="138"/>
      <x:c r="N194" s="138"/>
      <x:c r="O194" s="138"/>
      <x:c r="P194" s="138"/>
      <x:c r="Q194" s="138"/>
      <x:c r="R194" s="138"/>
      <x:c r="S194" s="138"/>
      <x:c r="T194" s="138"/>
      <x:c r="U194" s="138"/>
      <x:c r="V194" s="138"/>
      <x:c r="W194" s="138"/>
      <x:c r="X194" s="138"/>
      <x:c r="Y194" s="138"/>
      <x:c r="Z194" s="138"/>
    </x:row>
    <x:row r="195">
      <x:c r="A195" s="138"/>
      <x:c r="B195" s="138"/>
      <x:c r="C195" s="138"/>
      <x:c r="D195" s="138"/>
      <x:c r="E195" s="138"/>
      <x:c r="F195" s="138"/>
      <x:c r="G195" s="138"/>
      <x:c r="H195" s="138"/>
      <x:c r="I195" s="138"/>
      <x:c r="J195" s="138"/>
      <x:c r="K195" s="138"/>
      <x:c r="L195" s="138"/>
      <x:c r="M195" s="138"/>
      <x:c r="N195" s="138"/>
      <x:c r="O195" s="138"/>
      <x:c r="P195" s="138"/>
      <x:c r="Q195" s="138"/>
      <x:c r="R195" s="138"/>
      <x:c r="S195" s="138"/>
      <x:c r="T195" s="138"/>
      <x:c r="U195" s="138"/>
      <x:c r="V195" s="138"/>
      <x:c r="W195" s="138"/>
      <x:c r="X195" s="138"/>
      <x:c r="Y195" s="138"/>
      <x:c r="Z195" s="138"/>
    </x:row>
    <x:row r="196">
      <x:c r="A196" s="138"/>
      <x:c r="B196" s="138"/>
      <x:c r="C196" s="138"/>
      <x:c r="D196" s="138"/>
      <x:c r="E196" s="138"/>
      <x:c r="F196" s="138"/>
      <x:c r="G196" s="138"/>
      <x:c r="H196" s="138"/>
      <x:c r="I196" s="138"/>
      <x:c r="J196" s="138"/>
      <x:c r="K196" s="138"/>
      <x:c r="L196" s="138"/>
      <x:c r="M196" s="138"/>
      <x:c r="N196" s="138"/>
      <x:c r="O196" s="138"/>
      <x:c r="P196" s="138"/>
      <x:c r="Q196" s="138"/>
      <x:c r="R196" s="138"/>
      <x:c r="S196" s="138"/>
      <x:c r="T196" s="138"/>
      <x:c r="U196" s="138"/>
      <x:c r="V196" s="138"/>
      <x:c r="W196" s="138"/>
      <x:c r="X196" s="138"/>
      <x:c r="Y196" s="138"/>
      <x:c r="Z196" s="138"/>
    </x:row>
    <x:row r="197">
      <x:c r="A197" s="138"/>
      <x:c r="B197" s="138"/>
      <x:c r="C197" s="138"/>
      <x:c r="D197" s="138"/>
      <x:c r="E197" s="138"/>
      <x:c r="F197" s="138"/>
      <x:c r="G197" s="138"/>
      <x:c r="H197" s="138"/>
      <x:c r="I197" s="138"/>
      <x:c r="J197" s="138"/>
      <x:c r="K197" s="138"/>
      <x:c r="L197" s="138"/>
      <x:c r="M197" s="138"/>
      <x:c r="N197" s="138"/>
      <x:c r="O197" s="138"/>
      <x:c r="P197" s="138"/>
      <x:c r="Q197" s="138"/>
      <x:c r="R197" s="138"/>
      <x:c r="S197" s="138"/>
      <x:c r="T197" s="138"/>
      <x:c r="U197" s="138"/>
      <x:c r="V197" s="138"/>
      <x:c r="W197" s="138"/>
      <x:c r="X197" s="138"/>
      <x:c r="Y197" s="138"/>
      <x:c r="Z197" s="138"/>
    </x:row>
    <x:row r="198">
      <x:c r="A198" s="138"/>
      <x:c r="B198" s="138"/>
      <x:c r="C198" s="138"/>
      <x:c r="D198" s="138"/>
      <x:c r="E198" s="138"/>
      <x:c r="F198" s="138"/>
      <x:c r="G198" s="138"/>
      <x:c r="H198" s="138"/>
      <x:c r="I198" s="138"/>
      <x:c r="J198" s="138"/>
      <x:c r="K198" s="138"/>
      <x:c r="L198" s="138"/>
      <x:c r="M198" s="138"/>
      <x:c r="N198" s="138"/>
      <x:c r="O198" s="138"/>
      <x:c r="P198" s="138"/>
      <x:c r="Q198" s="138"/>
      <x:c r="R198" s="138"/>
      <x:c r="S198" s="138"/>
      <x:c r="T198" s="138"/>
      <x:c r="U198" s="138"/>
      <x:c r="V198" s="138"/>
      <x:c r="W198" s="138"/>
      <x:c r="X198" s="138"/>
      <x:c r="Y198" s="138"/>
      <x:c r="Z198" s="138"/>
    </x:row>
    <x:row r="199">
      <x:c r="A199" s="138"/>
      <x:c r="B199" s="138"/>
      <x:c r="C199" s="138"/>
      <x:c r="D199" s="138"/>
      <x:c r="E199" s="138"/>
      <x:c r="F199" s="138"/>
      <x:c r="G199" s="138"/>
      <x:c r="H199" s="138"/>
      <x:c r="I199" s="138"/>
      <x:c r="J199" s="138"/>
      <x:c r="K199" s="138"/>
      <x:c r="L199" s="138"/>
      <x:c r="M199" s="138"/>
      <x:c r="N199" s="138"/>
      <x:c r="O199" s="138"/>
      <x:c r="P199" s="138"/>
      <x:c r="Q199" s="138"/>
      <x:c r="R199" s="138"/>
      <x:c r="S199" s="138"/>
      <x:c r="T199" s="138"/>
      <x:c r="U199" s="138"/>
      <x:c r="V199" s="138"/>
      <x:c r="W199" s="138"/>
      <x:c r="X199" s="138"/>
      <x:c r="Y199" s="138"/>
      <x:c r="Z199" s="138"/>
    </x:row>
    <x:row r="200">
      <x:c r="A200" s="138"/>
      <x:c r="B200" s="138"/>
      <x:c r="C200" s="138"/>
      <x:c r="D200" s="138"/>
      <x:c r="E200" s="138"/>
      <x:c r="F200" s="138"/>
      <x:c r="G200" s="138"/>
      <x:c r="H200" s="138"/>
      <x:c r="I200" s="138"/>
      <x:c r="J200" s="138"/>
      <x:c r="K200" s="138"/>
      <x:c r="L200" s="138"/>
      <x:c r="M200" s="138"/>
      <x:c r="N200" s="138"/>
      <x:c r="O200" s="138"/>
      <x:c r="P200" s="138"/>
      <x:c r="Q200" s="138"/>
      <x:c r="R200" s="138"/>
      <x:c r="S200" s="138"/>
      <x:c r="T200" s="138"/>
      <x:c r="U200" s="138"/>
      <x:c r="V200" s="138"/>
      <x:c r="W200" s="138"/>
      <x:c r="X200" s="138"/>
      <x:c r="Y200" s="138"/>
      <x:c r="Z200" s="138"/>
    </x:row>
  </x:sheetData>
  <x:mergeCells>
    <x:mergeCell ref="A1:I1"/>
    <x:mergeCell ref="A2:I2"/>
    <x:mergeCell ref="A4:I4"/>
    <x:mergeCell ref="A13:I13"/>
  </x:mergeCells>
  <x:conditionalFormatting sqref="B6:F1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B15:F19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1" hidden="0" customWidth="1"/>
    <x:col min="3" max="3" width="23" hidden="0" customWidth="1"/>
    <x:col min="4" max="4" width="30" hidden="0" customWidth="1"/>
    <x:col min="5" max="5" width="34" hidden="0" customWidth="1"/>
    <x:col min="6" max="6" width="34" hidden="0" customWidth="1"/>
  </x:cols>
  <x:sheetData>
    <x:row r="1" ht="32" customHeight="1">
      <x:c r="A1" s="137" t="str">
        <x:v>Implementation-Ready Billing &amp; Gating Rules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  <x:c r="V1" s="138"/>
      <x:c r="W1" s="138"/>
      <x:c r="X1" s="138"/>
      <x:c r="Y1" s="138"/>
      <x:c r="Z1" s="138"/>
    </x:row>
    <x:row r="2" ht="30" customHeight="1">
      <x:c r="A2" s="139" t="str">
        <x:v>These are the product rules the app should enforce after the pricing model is approved.</x:v>
      </x:c>
      <x:c r="B2" s="138"/>
      <x:c r="C2" s="138"/>
      <x:c r="D2" s="138"/>
      <x:c r="E2" s="138"/>
      <x:c r="F2" s="138"/>
      <x:c r="G2" s="138"/>
      <x:c r="H2" s="138"/>
      <x:c r="I2" s="138"/>
      <x:c r="J2" s="138"/>
      <x:c r="K2" s="138"/>
      <x:c r="L2" s="138"/>
      <x:c r="M2" s="138"/>
      <x:c r="N2" s="138"/>
      <x:c r="O2" s="138"/>
      <x:c r="P2" s="138"/>
      <x:c r="Q2" s="138"/>
      <x:c r="R2" s="138"/>
      <x:c r="S2" s="138"/>
      <x:c r="T2" s="138"/>
      <x:c r="U2" s="138"/>
      <x:c r="V2" s="138"/>
      <x:c r="W2" s="138"/>
      <x:c r="X2" s="138"/>
      <x:c r="Y2" s="138"/>
      <x:c r="Z2" s="138"/>
    </x:row>
    <x:row r="3">
      <x:c r="A3" s="138"/>
      <x:c r="B3" s="138"/>
      <x:c r="C3" s="138"/>
      <x:c r="D3" s="138"/>
      <x:c r="E3" s="138"/>
      <x:c r="F3" s="138"/>
      <x:c r="G3" s="138"/>
      <x:c r="H3" s="138"/>
      <x:c r="I3" s="138"/>
      <x:c r="J3" s="138"/>
      <x:c r="K3" s="138"/>
      <x:c r="L3" s="138"/>
      <x:c r="M3" s="138"/>
      <x:c r="N3" s="138"/>
      <x:c r="O3" s="138"/>
      <x:c r="P3" s="138"/>
      <x:c r="Q3" s="138"/>
      <x:c r="R3" s="138"/>
      <x:c r="S3" s="138"/>
      <x:c r="T3" s="138"/>
      <x:c r="U3" s="138"/>
      <x:c r="V3" s="138"/>
      <x:c r="W3" s="138"/>
      <x:c r="X3" s="138"/>
      <x:c r="Y3" s="138"/>
      <x:c r="Z3" s="138"/>
    </x:row>
    <x:row r="4">
      <x:c r="A4" s="141" t="str">
        <x:v>Priority</x:v>
      </x:c>
      <x:c r="B4" s="142" t="str">
        <x:v>Rule</x:v>
      </x:c>
      <x:c r="C4" s="142" t="str">
        <x:v>Trigger</x:v>
      </x:c>
      <x:c r="D4" s="142" t="str">
        <x:v>Ledger behavior</x:v>
      </x:c>
      <x:c r="E4" s="142" t="str">
        <x:v>User experience</x:v>
      </x:c>
      <x:c r="F4" s="143" t="str">
        <x:v>Current gap</x:v>
      </x:c>
      <x:c r="G4" s="138"/>
      <x:c r="H4" s="138"/>
      <x:c r="I4" s="138"/>
      <x:c r="J4" s="138"/>
      <x:c r="K4" s="138"/>
      <x:c r="L4" s="138"/>
      <x:c r="M4" s="138"/>
      <x:c r="N4" s="138"/>
      <x:c r="O4" s="138"/>
      <x:c r="P4" s="138"/>
      <x:c r="Q4" s="138"/>
      <x:c r="R4" s="138"/>
      <x:c r="S4" s="138"/>
      <x:c r="T4" s="138"/>
      <x:c r="U4" s="138"/>
      <x:c r="V4" s="138"/>
      <x:c r="W4" s="138"/>
      <x:c r="X4" s="138"/>
      <x:c r="Y4" s="138"/>
      <x:c r="Z4" s="138"/>
    </x:row>
    <x:row r="5">
      <x:c r="A5" s="210" t="str">
        <x:v>P0</x:v>
      </x:c>
      <x:c r="B5" s="151" t="str">
        <x:v>Separate import from enrichment</x:v>
      </x:c>
      <x:c r="C5" s="151" t="str">
        <x:v>CSV/CRM sync</x:v>
      </x:c>
      <x:c r="D5" s="151" t="str">
        <x:v>0 credits for raw import</x:v>
      </x:c>
      <x:c r="E5" s="151" t="str">
        <x:v>Import everything, then show ranked queue</x:v>
      </x:c>
      <x:c r="F5" s="211" t="str">
        <x:v>Current import enriches every non-duplicate row</x:v>
      </x:c>
      <x:c r="G5" s="138"/>
      <x:c r="H5" s="138"/>
      <x:c r="I5" s="138"/>
      <x:c r="J5" s="138"/>
      <x:c r="K5" s="138"/>
      <x:c r="L5" s="138"/>
      <x:c r="M5" s="138"/>
      <x:c r="N5" s="138"/>
      <x:c r="O5" s="138"/>
      <x:c r="P5" s="138"/>
      <x:c r="Q5" s="138"/>
      <x:c r="R5" s="138"/>
      <x:c r="S5" s="138"/>
      <x:c r="T5" s="138"/>
      <x:c r="U5" s="138"/>
      <x:c r="V5" s="138"/>
      <x:c r="W5" s="138"/>
      <x:c r="X5" s="138"/>
      <x:c r="Y5" s="138"/>
      <x:c r="Z5" s="138"/>
    </x:row>
    <x:row r="6">
      <x:c r="A6" s="212" t="str">
        <x:v>P0</x:v>
      </x:c>
      <x:c r="B6" s="154" t="str">
        <x:v>Stop automatic phone reveals</x:v>
      </x:c>
      <x:c r="C6" s="154" t="str">
        <x:v>No phone returned</x:v>
      </x:c>
      <x:c r="D6" s="154" t="str">
        <x:v>No ledger event until click</x:v>
      </x:c>
      <x:c r="E6" s="154" t="str">
        <x:v>Reveal phone button with 20-credit estimate</x:v>
      </x:c>
      <x:c r="F6" s="170" t="str">
        <x:v>Current pipeline auto-requests for high-fit leads</x:v>
      </x:c>
      <x:c r="G6" s="138"/>
      <x:c r="H6" s="138"/>
      <x:c r="I6" s="138"/>
      <x:c r="J6" s="138"/>
      <x:c r="K6" s="138"/>
      <x:c r="L6" s="138"/>
      <x:c r="M6" s="138"/>
      <x:c r="N6" s="138"/>
      <x:c r="O6" s="138"/>
      <x:c r="P6" s="138"/>
      <x:c r="Q6" s="138"/>
      <x:c r="R6" s="138"/>
      <x:c r="S6" s="138"/>
      <x:c r="T6" s="138"/>
      <x:c r="U6" s="138"/>
      <x:c r="V6" s="138"/>
      <x:c r="W6" s="138"/>
      <x:c r="X6" s="138"/>
      <x:c r="Y6" s="138"/>
      <x:c r="Z6" s="138"/>
    </x:row>
    <x:row r="7">
      <x:c r="A7" s="212" t="str">
        <x:v>P0</x:v>
      </x:c>
      <x:c r="B7" s="154" t="str">
        <x:v>Reserve credits before provider call</x:v>
      </x:c>
      <x:c r="C7" s="154" t="str">
        <x:v>Any paid action</x:v>
      </x:c>
      <x:c r="D7" s="154" t="str">
        <x:v>pending → settled/refunded</x:v>
      </x:c>
      <x:c r="E7" s="154" t="str">
        <x:v>Never charge for provider failures</x:v>
      </x:c>
      <x:c r="F7" s="170" t="str">
        <x:v>Not unified today</x:v>
      </x:c>
      <x:c r="G7" s="138"/>
      <x:c r="H7" s="138"/>
      <x:c r="I7" s="138"/>
      <x:c r="J7" s="138"/>
      <x:c r="K7" s="138"/>
      <x:c r="L7" s="138"/>
      <x:c r="M7" s="138"/>
      <x:c r="N7" s="138"/>
      <x:c r="O7" s="138"/>
      <x:c r="P7" s="138"/>
      <x:c r="Q7" s="138"/>
      <x:c r="R7" s="138"/>
      <x:c r="S7" s="138"/>
      <x:c r="T7" s="138"/>
      <x:c r="U7" s="138"/>
      <x:c r="V7" s="138"/>
      <x:c r="W7" s="138"/>
      <x:c r="X7" s="138"/>
      <x:c r="Y7" s="138"/>
      <x:c r="Z7" s="138"/>
    </x:row>
    <x:row r="8">
      <x:c r="A8" s="152" t="str">
        <x:v>P0</x:v>
      </x:c>
      <x:c r="B8" s="154" t="str">
        <x:v>Canonical cache preflight</x:v>
      </x:c>
      <x:c r="C8" s="154" t="str">
        <x:v>Import/data/enrich</x:v>
      </x:c>
      <x:c r="D8" s="154" t="str">
        <x:v>0 credits on fresh cache hit</x:v>
      </x:c>
      <x:c r="E8" s="154" t="str">
        <x:v>Show “already covered”</x:v>
      </x:c>
      <x:c r="F8" s="170" t="str">
        <x:v>Partial company cache; person reuse limited</x:v>
      </x:c>
      <x:c r="G8" s="138"/>
      <x:c r="H8" s="138"/>
      <x:c r="I8" s="138"/>
      <x:c r="J8" s="138"/>
      <x:c r="K8" s="138"/>
      <x:c r="L8" s="138"/>
      <x:c r="M8" s="138"/>
      <x:c r="N8" s="138"/>
      <x:c r="O8" s="138"/>
      <x:c r="P8" s="138"/>
      <x:c r="Q8" s="138"/>
      <x:c r="R8" s="138"/>
      <x:c r="S8" s="138"/>
      <x:c r="T8" s="138"/>
      <x:c r="U8" s="138"/>
      <x:c r="V8" s="138"/>
      <x:c r="W8" s="138"/>
      <x:c r="X8" s="138"/>
      <x:c r="Y8" s="138"/>
      <x:c r="Z8" s="138"/>
    </x:row>
    <x:row r="9">
      <x:c r="A9" s="152" t="str">
        <x:v>P1</x:v>
      </x:c>
      <x:c r="B9" s="154" t="str">
        <x:v>Triage before enrich</x:v>
      </x:c>
      <x:c r="C9" s="154" t="str">
        <x:v>New raw records</x:v>
      </x:c>
      <x:c r="D9" s="154" t="str">
        <x:v>0.1 credit after allowance</x:v>
      </x:c>
      <x:c r="E9" s="154" t="str">
        <x:v>Rank first, enrich best first</x:v>
      </x:c>
      <x:c r="F9" s="170" t="str">
        <x:v>Classification currently follows enrichment</x:v>
      </x:c>
      <x:c r="G9" s="138"/>
      <x:c r="H9" s="138"/>
      <x:c r="I9" s="138"/>
      <x:c r="J9" s="138"/>
      <x:c r="K9" s="138"/>
      <x:c r="L9" s="138"/>
      <x:c r="M9" s="138"/>
      <x:c r="N9" s="138"/>
      <x:c r="O9" s="138"/>
      <x:c r="P9" s="138"/>
      <x:c r="Q9" s="138"/>
      <x:c r="R9" s="138"/>
      <x:c r="S9" s="138"/>
      <x:c r="T9" s="138"/>
      <x:c r="U9" s="138"/>
      <x:c r="V9" s="138"/>
      <x:c r="W9" s="138"/>
      <x:c r="X9" s="138"/>
      <x:c r="Y9" s="138"/>
      <x:c r="Z9" s="138"/>
    </x:row>
    <x:row r="10">
      <x:c r="A10" s="152" t="str">
        <x:v>P1</x:v>
      </x:c>
      <x:c r="B10" s="154" t="str">
        <x:v>Monthly import allocation</x:v>
      </x:c>
      <x:c r="C10" s="154" t="str">
        <x:v>Bulk import queue</x:v>
      </x:c>
      <x:c r="D10" s="154" t="str">
        <x:v>Starter 300; Growth 1,400 from included credits</x:v>
      </x:c>
      <x:c r="E10" s="154" t="str">
        <x:v>Purchased credits can lift usage to the tier hard cap</x:v>
      </x:c>
      <x:c r="F10" s="170" t="str">
        <x:v>No functioning import quota hold</x:v>
      </x:c>
      <x:c r="G10" s="138"/>
      <x:c r="H10" s="138"/>
      <x:c r="I10" s="138"/>
      <x:c r="J10" s="138"/>
      <x:c r="K10" s="138"/>
      <x:c r="L10" s="138"/>
      <x:c r="M10" s="138"/>
      <x:c r="N10" s="138"/>
      <x:c r="O10" s="138"/>
      <x:c r="P10" s="138"/>
      <x:c r="Q10" s="138"/>
      <x:c r="R10" s="138"/>
      <x:c r="S10" s="138"/>
      <x:c r="T10" s="138"/>
      <x:c r="U10" s="138"/>
      <x:c r="V10" s="138"/>
      <x:c r="W10" s="138"/>
      <x:c r="X10" s="138"/>
      <x:c r="Y10" s="138"/>
      <x:c r="Z10" s="138"/>
    </x:row>
    <x:row r="11">
      <x:c r="A11" s="152" t="str">
        <x:v>P1</x:v>
      </x:c>
      <x:c r="B11" s="154" t="str">
        <x:v>Hard import cap by tier</x:v>
      </x:c>
      <x:c r="C11" s="154" t="str">
        <x:v>Bulk import enrich</x:v>
      </x:c>
      <x:c r="D11" s="154" t="str">
        <x:v>Starter 500; Growth 5,000 / month</x:v>
      </x:c>
      <x:c r="E11" s="154" t="str">
        <x:v>Upgrade or buy approved import boost</x:v>
      </x:c>
      <x:c r="F11" s="170" t="str">
        <x:v>Not enforced</x:v>
      </x:c>
      <x:c r="G11" s="138"/>
      <x:c r="H11" s="138"/>
      <x:c r="I11" s="138"/>
      <x:c r="J11" s="138"/>
      <x:c r="K11" s="138"/>
      <x:c r="L11" s="138"/>
      <x:c r="M11" s="138"/>
      <x:c r="N11" s="138"/>
      <x:c r="O11" s="138"/>
      <x:c r="P11" s="138"/>
      <x:c r="Q11" s="138"/>
      <x:c r="R11" s="138"/>
      <x:c r="S11" s="138"/>
      <x:c r="T11" s="138"/>
      <x:c r="U11" s="138"/>
      <x:c r="V11" s="138"/>
      <x:c r="W11" s="138"/>
      <x:c r="X11" s="138"/>
      <x:c r="Y11" s="138"/>
      <x:c r="Z11" s="138"/>
    </x:row>
    <x:row r="12">
      <x:c r="A12" s="152" t="str">
        <x:v>P1</x:v>
      </x:c>
      <x:c r="B12" s="154" t="str">
        <x:v>Monitoring entitlement meter</x:v>
      </x:c>
      <x:c r="C12" s="154" t="str">
        <x:v>Scheduled sweep</x:v>
      </x:c>
      <x:c r="D12" s="154" t="str">
        <x:v>Internal COGS only</x:v>
      </x:c>
      <x:c r="E12" s="154" t="str">
        <x:v>Automatically monitor all high-fit active leads</x:v>
      </x:c>
      <x:c r="F12" s="170" t="str">
        <x:v>Cadence exists; universe cap does not</x:v>
      </x:c>
      <x:c r="G12" s="138"/>
      <x:c r="H12" s="138"/>
      <x:c r="I12" s="138"/>
      <x:c r="J12" s="138"/>
      <x:c r="K12" s="138"/>
      <x:c r="L12" s="138"/>
      <x:c r="M12" s="138"/>
      <x:c r="N12" s="138"/>
      <x:c r="O12" s="138"/>
      <x:c r="P12" s="138"/>
      <x:c r="Q12" s="138"/>
      <x:c r="R12" s="138"/>
      <x:c r="S12" s="138"/>
      <x:c r="T12" s="138"/>
      <x:c r="U12" s="138"/>
      <x:c r="V12" s="138"/>
      <x:c r="W12" s="138"/>
      <x:c r="X12" s="138"/>
      <x:c r="Y12" s="138"/>
      <x:c r="Z12" s="138"/>
    </x:row>
    <x:row r="13">
      <x:c r="A13" s="152" t="str">
        <x:v>P1</x:v>
      </x:c>
      <x:c r="B13" s="154" t="str">
        <x:v>Free ICP re-evaluation</x:v>
      </x:c>
      <x:c r="C13" s="154" t="str">
        <x:v>ICP add/edit</x:v>
      </x:c>
      <x:c r="D13" s="154" t="str">
        <x:v>No Arcova credit</x:v>
      </x:c>
      <x:c r="E13" s="154" t="str">
        <x:v>Re-triage non-enriched; rescore enriched</x:v>
      </x:c>
      <x:c r="F13" s="194" t="str">
        <x:v>Current deterministic rescore covers enriched records</x:v>
      </x:c>
      <x:c r="G13" s="138"/>
      <x:c r="H13" s="138"/>
      <x:c r="I13" s="138"/>
      <x:c r="J13" s="138"/>
      <x:c r="K13" s="138"/>
      <x:c r="L13" s="138"/>
      <x:c r="M13" s="138"/>
      <x:c r="N13" s="138"/>
      <x:c r="O13" s="138"/>
      <x:c r="P13" s="138"/>
      <x:c r="Q13" s="138"/>
      <x:c r="R13" s="138"/>
      <x:c r="S13" s="138"/>
      <x:c r="T13" s="138"/>
      <x:c r="U13" s="138"/>
      <x:c r="V13" s="138"/>
      <x:c r="W13" s="138"/>
      <x:c r="X13" s="138"/>
      <x:c r="Y13" s="138"/>
      <x:c r="Z13" s="138"/>
    </x:row>
    <x:row r="14">
      <x:c r="A14" s="152" t="str">
        <x:v>P2</x:v>
      </x:c>
      <x:c r="B14" s="154" t="str">
        <x:v>Credit estimate confirmation</x:v>
      </x:c>
      <x:c r="C14" s="154" t="str">
        <x:v>Data buy, phone, finder, bulk enrich</x:v>
      </x:c>
      <x:c r="D14" s="154" t="str">
        <x:v>Show max reservation</x:v>
      </x:c>
      <x:c r="E14" s="154" t="str">
        <x:v>Confirm before spend</x:v>
      </x:c>
      <x:c r="F14" s="194" t="str">
        <x:v>Not consistently exposed</x:v>
      </x:c>
      <x:c r="G14" s="138"/>
      <x:c r="H14" s="138"/>
      <x:c r="I14" s="138"/>
      <x:c r="J14" s="138"/>
      <x:c r="K14" s="138"/>
      <x:c r="L14" s="138"/>
      <x:c r="M14" s="138"/>
      <x:c r="N14" s="138"/>
      <x:c r="O14" s="138"/>
      <x:c r="P14" s="138"/>
      <x:c r="Q14" s="138"/>
      <x:c r="R14" s="138"/>
      <x:c r="S14" s="138"/>
      <x:c r="T14" s="138"/>
      <x:c r="U14" s="138"/>
      <x:c r="V14" s="138"/>
      <x:c r="W14" s="138"/>
      <x:c r="X14" s="138"/>
      <x:c r="Y14" s="138"/>
      <x:c r="Z14" s="138"/>
    </x:row>
    <x:row r="15">
      <x:c r="A15" s="152" t="str">
        <x:v>P2</x:v>
      </x:c>
      <x:c r="B15" s="154" t="str">
        <x:v>Sequence rate limit</x:v>
      </x:c>
      <x:c r="C15" s="154" t="str">
        <x:v>Generate outreach sequence</x:v>
      </x:c>
      <x:c r="D15" s="154" t="str">
        <x:v>5 credits + rolling counter</x:v>
      </x:c>
      <x:c r="E15" s="154" t="str">
        <x:v>Starter 3/day; Growth 10/day; send through Lemlist</x:v>
      </x:c>
      <x:c r="F15" s="194" t="str">
        <x:v>No product-level sequence entitlement</x:v>
      </x:c>
      <x:c r="G15" s="138"/>
      <x:c r="H15" s="138"/>
      <x:c r="I15" s="138"/>
      <x:c r="J15" s="138"/>
      <x:c r="K15" s="138"/>
      <x:c r="L15" s="138"/>
      <x:c r="M15" s="138"/>
      <x:c r="N15" s="138"/>
      <x:c r="O15" s="138"/>
      <x:c r="P15" s="138"/>
      <x:c r="Q15" s="138"/>
      <x:c r="R15" s="138"/>
      <x:c r="S15" s="138"/>
      <x:c r="T15" s="138"/>
      <x:c r="U15" s="138"/>
      <x:c r="V15" s="138"/>
      <x:c r="W15" s="138"/>
      <x:c r="X15" s="138"/>
      <x:c r="Y15" s="138"/>
      <x:c r="Z15" s="138"/>
    </x:row>
    <x:row r="16">
      <x:c r="A16" s="147" t="str">
        <x:v>P2</x:v>
      </x:c>
      <x:c r="B16" s="159" t="str">
        <x:v>Provider-aware admin margin</x:v>
      </x:c>
      <x:c r="C16" s="159" t="str">
        <x:v>Every settled action</x:v>
      </x:c>
      <x:c r="D16" s="159" t="str">
        <x:v>Store provider units + USD estimate + Arcova credits</x:v>
      </x:c>
      <x:c r="E16" s="159" t="str">
        <x:v>Internal only</x:v>
      </x:c>
      <x:c r="F16" s="213" t="str">
        <x:v>Pieces exist across two meters</x:v>
      </x:c>
      <x:c r="G16" s="138"/>
      <x:c r="H16" s="138"/>
      <x:c r="I16" s="138"/>
      <x:c r="J16" s="138"/>
      <x:c r="K16" s="138"/>
      <x:c r="L16" s="138"/>
      <x:c r="M16" s="138"/>
      <x:c r="N16" s="138"/>
      <x:c r="O16" s="138"/>
      <x:c r="P16" s="138"/>
      <x:c r="Q16" s="138"/>
      <x:c r="R16" s="138"/>
      <x:c r="S16" s="138"/>
      <x:c r="T16" s="138"/>
      <x:c r="U16" s="138"/>
      <x:c r="V16" s="138"/>
      <x:c r="W16" s="138"/>
      <x:c r="X16" s="138"/>
      <x:c r="Y16" s="138"/>
      <x:c r="Z16" s="138"/>
    </x:row>
    <x:row r="17">
      <x:c r="A17" s="138" t="str">
        <x:v>P1</x:v>
      </x:c>
      <x:c r="B17" s="138" t="str">
        <x:v>Active ICP capacity</x:v>
      </x:c>
      <x:c r="C17" s="138" t="str">
        <x:v>Create ICP</x:v>
      </x:c>
      <x:c r="D17" s="138" t="str">
        <x:v>No credits; workspace cap check</x:v>
      </x:c>
      <x:c r="E17" s="138" t="str">
        <x:v>Free 1, Starter 3, Growth 10; edit/delete to manage slots</x:v>
      </x:c>
      <x:c r="F17" s="138" t="str">
        <x:v>Server-side cap enforced; DB-level race guard not added</x:v>
      </x:c>
      <x:c r="G17" s="138"/>
      <x:c r="H17" s="138"/>
      <x:c r="I17" s="138"/>
      <x:c r="J17" s="138"/>
      <x:c r="K17" s="138"/>
      <x:c r="L17" s="138"/>
      <x:c r="M17" s="138"/>
      <x:c r="N17" s="138"/>
      <x:c r="O17" s="138"/>
      <x:c r="P17" s="138"/>
      <x:c r="Q17" s="138"/>
      <x:c r="R17" s="138"/>
      <x:c r="S17" s="138"/>
      <x:c r="T17" s="138"/>
      <x:c r="U17" s="138"/>
      <x:c r="V17" s="138"/>
      <x:c r="W17" s="138"/>
      <x:c r="X17" s="138"/>
      <x:c r="Y17" s="138"/>
      <x:c r="Z17" s="138"/>
    </x:row>
    <x:row r="18">
      <x:c r="A18" s="138"/>
      <x:c r="B18" s="138"/>
      <x:c r="C18" s="138"/>
      <x:c r="D18" s="138"/>
      <x:c r="E18" s="138"/>
      <x:c r="F18" s="138"/>
      <x:c r="G18" s="138"/>
      <x:c r="H18" s="138"/>
      <x:c r="I18" s="138"/>
      <x:c r="J18" s="138"/>
      <x:c r="K18" s="138"/>
      <x:c r="L18" s="138"/>
      <x:c r="M18" s="138"/>
      <x:c r="N18" s="138"/>
      <x:c r="O18" s="138"/>
      <x:c r="P18" s="138"/>
      <x:c r="Q18" s="138"/>
      <x:c r="R18" s="138"/>
      <x:c r="S18" s="138"/>
      <x:c r="T18" s="138"/>
      <x:c r="U18" s="138"/>
      <x:c r="V18" s="138"/>
      <x:c r="W18" s="138"/>
      <x:c r="X18" s="138"/>
      <x:c r="Y18" s="138"/>
      <x:c r="Z18" s="138"/>
    </x:row>
    <x:row r="19">
      <x:c r="A19" s="138"/>
      <x:c r="B19" s="138"/>
      <x:c r="C19" s="138"/>
      <x:c r="D19" s="138"/>
      <x:c r="E19" s="138"/>
      <x:c r="F19" s="138"/>
      <x:c r="G19" s="138"/>
      <x:c r="H19" s="138"/>
      <x:c r="I19" s="138"/>
      <x:c r="J19" s="138"/>
      <x:c r="K19" s="138"/>
      <x:c r="L19" s="138"/>
      <x:c r="M19" s="138"/>
      <x:c r="N19" s="138"/>
      <x:c r="O19" s="138"/>
      <x:c r="P19" s="138"/>
      <x:c r="Q19" s="138"/>
      <x:c r="R19" s="138"/>
      <x:c r="S19" s="138"/>
      <x:c r="T19" s="138"/>
      <x:c r="U19" s="138"/>
      <x:c r="V19" s="138"/>
      <x:c r="W19" s="138"/>
      <x:c r="X19" s="138"/>
      <x:c r="Y19" s="138"/>
      <x:c r="Z19" s="138"/>
    </x:row>
    <x:row r="20">
      <x:c r="A20" s="138"/>
      <x:c r="B20" s="138"/>
      <x:c r="C20" s="138"/>
      <x:c r="D20" s="138"/>
      <x:c r="E20" s="138"/>
      <x:c r="F20" s="138"/>
      <x:c r="G20" s="138"/>
      <x:c r="H20" s="138"/>
      <x:c r="I20" s="138"/>
      <x:c r="J20" s="138"/>
      <x:c r="K20" s="138"/>
      <x:c r="L20" s="138"/>
      <x:c r="M20" s="138"/>
      <x:c r="N20" s="138"/>
      <x:c r="O20" s="138"/>
      <x:c r="P20" s="138"/>
      <x:c r="Q20" s="138"/>
      <x:c r="R20" s="138"/>
      <x:c r="S20" s="138"/>
      <x:c r="T20" s="138"/>
      <x:c r="U20" s="138"/>
      <x:c r="V20" s="138"/>
      <x:c r="W20" s="138"/>
      <x:c r="X20" s="138"/>
      <x:c r="Y20" s="138"/>
      <x:c r="Z20" s="138"/>
    </x:row>
    <x:row r="21">
      <x:c r="A21" s="138"/>
      <x:c r="B21" s="138"/>
      <x:c r="C21" s="138"/>
      <x:c r="D21" s="138"/>
      <x:c r="E21" s="138"/>
      <x:c r="F21" s="138"/>
      <x:c r="G21" s="138"/>
      <x:c r="H21" s="138"/>
      <x:c r="I21" s="138"/>
      <x:c r="J21" s="138"/>
      <x:c r="K21" s="138"/>
      <x:c r="L21" s="138"/>
      <x:c r="M21" s="138"/>
      <x:c r="N21" s="138"/>
      <x:c r="O21" s="138"/>
      <x:c r="P21" s="138"/>
      <x:c r="Q21" s="138"/>
      <x:c r="R21" s="138"/>
      <x:c r="S21" s="138"/>
      <x:c r="T21" s="138"/>
      <x:c r="U21" s="138"/>
      <x:c r="V21" s="138"/>
      <x:c r="W21" s="138"/>
      <x:c r="X21" s="138"/>
      <x:c r="Y21" s="138"/>
      <x:c r="Z21" s="138"/>
    </x:row>
    <x:row r="22">
      <x:c r="A22" s="138"/>
      <x:c r="B22" s="138"/>
      <x:c r="C22" s="138"/>
      <x:c r="D22" s="138"/>
      <x:c r="E22" s="138"/>
      <x:c r="F22" s="138"/>
      <x:c r="G22" s="138"/>
      <x:c r="H22" s="138"/>
      <x:c r="I22" s="138"/>
      <x:c r="J22" s="138"/>
      <x:c r="K22" s="138"/>
      <x:c r="L22" s="138"/>
      <x:c r="M22" s="138"/>
      <x:c r="N22" s="138"/>
      <x:c r="O22" s="138"/>
      <x:c r="P22" s="138"/>
      <x:c r="Q22" s="138"/>
      <x:c r="R22" s="138"/>
      <x:c r="S22" s="138"/>
      <x:c r="T22" s="138"/>
      <x:c r="U22" s="138"/>
      <x:c r="V22" s="138"/>
      <x:c r="W22" s="138"/>
      <x:c r="X22" s="138"/>
      <x:c r="Y22" s="138"/>
      <x:c r="Z22" s="138"/>
    </x:row>
    <x:row r="23">
      <x:c r="A23" s="138"/>
      <x:c r="B23" s="138"/>
      <x:c r="C23" s="138"/>
      <x:c r="D23" s="138"/>
      <x:c r="E23" s="138"/>
      <x:c r="F23" s="138"/>
      <x:c r="G23" s="138"/>
      <x:c r="H23" s="138"/>
      <x:c r="I23" s="138"/>
      <x:c r="J23" s="138"/>
      <x:c r="K23" s="138"/>
      <x:c r="L23" s="138"/>
      <x:c r="M23" s="138"/>
      <x:c r="N23" s="138"/>
      <x:c r="O23" s="138"/>
      <x:c r="P23" s="138"/>
      <x:c r="Q23" s="138"/>
      <x:c r="R23" s="138"/>
      <x:c r="S23" s="138"/>
      <x:c r="T23" s="138"/>
      <x:c r="U23" s="138"/>
      <x:c r="V23" s="138"/>
      <x:c r="W23" s="138"/>
      <x:c r="X23" s="138"/>
      <x:c r="Y23" s="138"/>
      <x:c r="Z23" s="138"/>
    </x:row>
    <x:row r="24">
      <x:c r="A24" s="138"/>
      <x:c r="B24" s="138"/>
      <x:c r="C24" s="138"/>
      <x:c r="D24" s="138"/>
      <x:c r="E24" s="138"/>
      <x:c r="F24" s="138"/>
      <x:c r="G24" s="138"/>
      <x:c r="H24" s="138"/>
      <x:c r="I24" s="138"/>
      <x:c r="J24" s="138"/>
      <x:c r="K24" s="138"/>
      <x:c r="L24" s="138"/>
      <x:c r="M24" s="138"/>
      <x:c r="N24" s="138"/>
      <x:c r="O24" s="138"/>
      <x:c r="P24" s="138"/>
      <x:c r="Q24" s="138"/>
      <x:c r="R24" s="138"/>
      <x:c r="S24" s="138"/>
      <x:c r="T24" s="138"/>
      <x:c r="U24" s="138"/>
      <x:c r="V24" s="138"/>
      <x:c r="W24" s="138"/>
      <x:c r="X24" s="138"/>
      <x:c r="Y24" s="138"/>
      <x:c r="Z24" s="138"/>
    </x:row>
    <x:row r="25">
      <x:c r="A25" s="138"/>
      <x:c r="B25" s="138"/>
      <x:c r="C25" s="138"/>
      <x:c r="D25" s="138"/>
      <x:c r="E25" s="138"/>
      <x:c r="F25" s="138"/>
      <x:c r="G25" s="138"/>
      <x:c r="H25" s="138"/>
      <x:c r="I25" s="138"/>
      <x:c r="J25" s="138"/>
      <x:c r="K25" s="138"/>
      <x:c r="L25" s="138"/>
      <x:c r="M25" s="138"/>
      <x:c r="N25" s="138"/>
      <x:c r="O25" s="138"/>
      <x:c r="P25" s="138"/>
      <x:c r="Q25" s="138"/>
      <x:c r="R25" s="138"/>
      <x:c r="S25" s="138"/>
      <x:c r="T25" s="138"/>
      <x:c r="U25" s="138"/>
      <x:c r="V25" s="138"/>
      <x:c r="W25" s="138"/>
      <x:c r="X25" s="138"/>
      <x:c r="Y25" s="138"/>
      <x:c r="Z25" s="138"/>
    </x:row>
    <x:row r="26">
      <x:c r="A26" s="138"/>
      <x:c r="B26" s="138"/>
      <x:c r="C26" s="138"/>
      <x:c r="D26" s="138"/>
      <x:c r="E26" s="138"/>
      <x:c r="F26" s="138"/>
      <x:c r="G26" s="138"/>
      <x:c r="H26" s="138"/>
      <x:c r="I26" s="138"/>
      <x:c r="J26" s="138"/>
      <x:c r="K26" s="138"/>
      <x:c r="L26" s="138"/>
      <x:c r="M26" s="138"/>
      <x:c r="N26" s="138"/>
      <x:c r="O26" s="138"/>
      <x:c r="P26" s="138"/>
      <x:c r="Q26" s="138"/>
      <x:c r="R26" s="138"/>
      <x:c r="S26" s="138"/>
      <x:c r="T26" s="138"/>
      <x:c r="U26" s="138"/>
      <x:c r="V26" s="138"/>
      <x:c r="W26" s="138"/>
      <x:c r="X26" s="138"/>
      <x:c r="Y26" s="138"/>
      <x:c r="Z26" s="138"/>
    </x:row>
    <x:row r="27">
      <x:c r="A27" s="138"/>
      <x:c r="B27" s="138"/>
      <x:c r="C27" s="138"/>
      <x:c r="D27" s="138"/>
      <x:c r="E27" s="138"/>
      <x:c r="F27" s="138"/>
      <x:c r="G27" s="138"/>
      <x:c r="H27" s="138"/>
      <x:c r="I27" s="138"/>
      <x:c r="J27" s="138"/>
      <x:c r="K27" s="138"/>
      <x:c r="L27" s="138"/>
      <x:c r="M27" s="138"/>
      <x:c r="N27" s="138"/>
      <x:c r="O27" s="138"/>
      <x:c r="P27" s="138"/>
      <x:c r="Q27" s="138"/>
      <x:c r="R27" s="138"/>
      <x:c r="S27" s="138"/>
      <x:c r="T27" s="138"/>
      <x:c r="U27" s="138"/>
      <x:c r="V27" s="138"/>
      <x:c r="W27" s="138"/>
      <x:c r="X27" s="138"/>
      <x:c r="Y27" s="138"/>
      <x:c r="Z27" s="138"/>
    </x:row>
    <x:row r="28">
      <x:c r="A28" s="138"/>
      <x:c r="B28" s="138"/>
      <x:c r="C28" s="138"/>
      <x:c r="D28" s="138"/>
      <x:c r="E28" s="138"/>
      <x:c r="F28" s="138"/>
      <x:c r="G28" s="138"/>
      <x:c r="H28" s="138"/>
      <x:c r="I28" s="138"/>
      <x:c r="J28" s="138"/>
      <x:c r="K28" s="138"/>
      <x:c r="L28" s="138"/>
      <x:c r="M28" s="138"/>
      <x:c r="N28" s="138"/>
      <x:c r="O28" s="138"/>
      <x:c r="P28" s="138"/>
      <x:c r="Q28" s="138"/>
      <x:c r="R28" s="138"/>
      <x:c r="S28" s="138"/>
      <x:c r="T28" s="138"/>
      <x:c r="U28" s="138"/>
      <x:c r="V28" s="138"/>
      <x:c r="W28" s="138"/>
      <x:c r="X28" s="138"/>
      <x:c r="Y28" s="138"/>
      <x:c r="Z28" s="138"/>
    </x:row>
    <x:row r="29">
      <x:c r="A29" s="138"/>
      <x:c r="B29" s="138"/>
      <x:c r="C29" s="138"/>
      <x:c r="D29" s="138"/>
      <x:c r="E29" s="138"/>
      <x:c r="F29" s="138"/>
      <x:c r="G29" s="138"/>
      <x:c r="H29" s="138"/>
      <x:c r="I29" s="138"/>
      <x:c r="J29" s="138"/>
      <x:c r="K29" s="138"/>
      <x:c r="L29" s="138"/>
      <x:c r="M29" s="138"/>
      <x:c r="N29" s="138"/>
      <x:c r="O29" s="138"/>
      <x:c r="P29" s="138"/>
      <x:c r="Q29" s="138"/>
      <x:c r="R29" s="138"/>
      <x:c r="S29" s="138"/>
      <x:c r="T29" s="138"/>
      <x:c r="U29" s="138"/>
      <x:c r="V29" s="138"/>
      <x:c r="W29" s="138"/>
      <x:c r="X29" s="138"/>
      <x:c r="Y29" s="138"/>
      <x:c r="Z29" s="138"/>
    </x:row>
    <x:row r="30">
      <x:c r="A30" s="138"/>
      <x:c r="B30" s="138"/>
      <x:c r="C30" s="138"/>
      <x:c r="D30" s="138"/>
      <x:c r="E30" s="138"/>
      <x:c r="F30" s="138"/>
      <x:c r="G30" s="138"/>
      <x:c r="H30" s="138"/>
      <x:c r="I30" s="138"/>
      <x:c r="J30" s="138"/>
      <x:c r="K30" s="138"/>
      <x:c r="L30" s="138"/>
      <x:c r="M30" s="138"/>
      <x:c r="N30" s="138"/>
      <x:c r="O30" s="138"/>
      <x:c r="P30" s="138"/>
      <x:c r="Q30" s="138"/>
      <x:c r="R30" s="138"/>
      <x:c r="S30" s="138"/>
      <x:c r="T30" s="138"/>
      <x:c r="U30" s="138"/>
      <x:c r="V30" s="138"/>
      <x:c r="W30" s="138"/>
      <x:c r="X30" s="138"/>
      <x:c r="Y30" s="138"/>
      <x:c r="Z30" s="138"/>
    </x:row>
    <x:row r="31">
      <x:c r="A31" s="138"/>
      <x:c r="B31" s="138"/>
      <x:c r="C31" s="138"/>
      <x:c r="D31" s="138"/>
      <x:c r="E31" s="138"/>
      <x:c r="F31" s="138"/>
      <x:c r="G31" s="138"/>
      <x:c r="H31" s="138"/>
      <x:c r="I31" s="138"/>
      <x:c r="J31" s="138"/>
      <x:c r="K31" s="138"/>
      <x:c r="L31" s="138"/>
      <x:c r="M31" s="138"/>
      <x:c r="N31" s="138"/>
      <x:c r="O31" s="138"/>
      <x:c r="P31" s="138"/>
      <x:c r="Q31" s="138"/>
      <x:c r="R31" s="138"/>
      <x:c r="S31" s="138"/>
      <x:c r="T31" s="138"/>
      <x:c r="U31" s="138"/>
      <x:c r="V31" s="138"/>
      <x:c r="W31" s="138"/>
      <x:c r="X31" s="138"/>
      <x:c r="Y31" s="138"/>
      <x:c r="Z31" s="138"/>
    </x:row>
    <x:row r="32">
      <x:c r="A32" s="138"/>
      <x:c r="B32" s="138"/>
      <x:c r="C32" s="138"/>
      <x:c r="D32" s="138"/>
      <x:c r="E32" s="138"/>
      <x:c r="F32" s="138"/>
      <x:c r="G32" s="138"/>
      <x:c r="H32" s="138"/>
      <x:c r="I32" s="138"/>
      <x:c r="J32" s="138"/>
      <x:c r="K32" s="138"/>
      <x:c r="L32" s="138"/>
      <x:c r="M32" s="138"/>
      <x:c r="N32" s="138"/>
      <x:c r="O32" s="138"/>
      <x:c r="P32" s="138"/>
      <x:c r="Q32" s="138"/>
      <x:c r="R32" s="138"/>
      <x:c r="S32" s="138"/>
      <x:c r="T32" s="138"/>
      <x:c r="U32" s="138"/>
      <x:c r="V32" s="138"/>
      <x:c r="W32" s="138"/>
      <x:c r="X32" s="138"/>
      <x:c r="Y32" s="138"/>
      <x:c r="Z32" s="138"/>
    </x:row>
    <x:row r="33">
      <x:c r="A33" s="138"/>
      <x:c r="B33" s="138"/>
      <x:c r="C33" s="138"/>
      <x:c r="D33" s="138"/>
      <x:c r="E33" s="138"/>
      <x:c r="F33" s="138"/>
      <x:c r="G33" s="138"/>
      <x:c r="H33" s="138"/>
      <x:c r="I33" s="138"/>
      <x:c r="J33" s="138"/>
      <x:c r="K33" s="138"/>
      <x:c r="L33" s="138"/>
      <x:c r="M33" s="138"/>
      <x:c r="N33" s="138"/>
      <x:c r="O33" s="138"/>
      <x:c r="P33" s="138"/>
      <x:c r="Q33" s="138"/>
      <x:c r="R33" s="138"/>
      <x:c r="S33" s="138"/>
      <x:c r="T33" s="138"/>
      <x:c r="U33" s="138"/>
      <x:c r="V33" s="138"/>
      <x:c r="W33" s="138"/>
      <x:c r="X33" s="138"/>
      <x:c r="Y33" s="138"/>
      <x:c r="Z33" s="138"/>
    </x:row>
    <x:row r="34">
      <x:c r="A34" s="138"/>
      <x:c r="B34" s="138"/>
      <x:c r="C34" s="138"/>
      <x:c r="D34" s="138"/>
      <x:c r="E34" s="138"/>
      <x:c r="F34" s="138"/>
      <x:c r="G34" s="138"/>
      <x:c r="H34" s="138"/>
      <x:c r="I34" s="138"/>
      <x:c r="J34" s="138"/>
      <x:c r="K34" s="138"/>
      <x:c r="L34" s="138"/>
      <x:c r="M34" s="138"/>
      <x:c r="N34" s="138"/>
      <x:c r="O34" s="138"/>
      <x:c r="P34" s="138"/>
      <x:c r="Q34" s="138"/>
      <x:c r="R34" s="138"/>
      <x:c r="S34" s="138"/>
      <x:c r="T34" s="138"/>
      <x:c r="U34" s="138"/>
      <x:c r="V34" s="138"/>
      <x:c r="W34" s="138"/>
      <x:c r="X34" s="138"/>
      <x:c r="Y34" s="138"/>
      <x:c r="Z34" s="138"/>
    </x:row>
    <x:row r="35">
      <x:c r="A35" s="138"/>
      <x:c r="B35" s="138"/>
      <x:c r="C35" s="138"/>
      <x:c r="D35" s="138"/>
      <x:c r="E35" s="138"/>
      <x:c r="F35" s="138"/>
      <x:c r="G35" s="138"/>
      <x:c r="H35" s="138"/>
      <x:c r="I35" s="138"/>
      <x:c r="J35" s="138"/>
      <x:c r="K35" s="138"/>
      <x:c r="L35" s="138"/>
      <x:c r="M35" s="138"/>
      <x:c r="N35" s="138"/>
      <x:c r="O35" s="138"/>
      <x:c r="P35" s="138"/>
      <x:c r="Q35" s="138"/>
      <x:c r="R35" s="138"/>
      <x:c r="S35" s="138"/>
      <x:c r="T35" s="138"/>
      <x:c r="U35" s="138"/>
      <x:c r="V35" s="138"/>
      <x:c r="W35" s="138"/>
      <x:c r="X35" s="138"/>
      <x:c r="Y35" s="138"/>
      <x:c r="Z35" s="138"/>
    </x:row>
    <x:row r="36">
      <x:c r="A36" s="138"/>
      <x:c r="B36" s="138"/>
      <x:c r="C36" s="138"/>
      <x:c r="D36" s="138"/>
      <x:c r="E36" s="138"/>
      <x:c r="F36" s="138"/>
      <x:c r="G36" s="138"/>
      <x:c r="H36" s="138"/>
      <x:c r="I36" s="138"/>
      <x:c r="J36" s="138"/>
      <x:c r="K36" s="138"/>
      <x:c r="L36" s="138"/>
      <x:c r="M36" s="138"/>
      <x:c r="N36" s="138"/>
      <x:c r="O36" s="138"/>
      <x:c r="P36" s="138"/>
      <x:c r="Q36" s="138"/>
      <x:c r="R36" s="138"/>
      <x:c r="S36" s="138"/>
      <x:c r="T36" s="138"/>
      <x:c r="U36" s="138"/>
      <x:c r="V36" s="138"/>
      <x:c r="W36" s="138"/>
      <x:c r="X36" s="138"/>
      <x:c r="Y36" s="138"/>
      <x:c r="Z36" s="138"/>
    </x:row>
    <x:row r="37">
      <x:c r="A37" s="138"/>
      <x:c r="B37" s="138"/>
      <x:c r="C37" s="138"/>
      <x:c r="D37" s="138"/>
      <x:c r="E37" s="138"/>
      <x:c r="F37" s="138"/>
      <x:c r="G37" s="138"/>
      <x:c r="H37" s="138"/>
      <x:c r="I37" s="138"/>
      <x:c r="J37" s="138"/>
      <x:c r="K37" s="138"/>
      <x:c r="L37" s="138"/>
      <x:c r="M37" s="138"/>
      <x:c r="N37" s="138"/>
      <x:c r="O37" s="138"/>
      <x:c r="P37" s="138"/>
      <x:c r="Q37" s="138"/>
      <x:c r="R37" s="138"/>
      <x:c r="S37" s="138"/>
      <x:c r="T37" s="138"/>
      <x:c r="U37" s="138"/>
      <x:c r="V37" s="138"/>
      <x:c r="W37" s="138"/>
      <x:c r="X37" s="138"/>
      <x:c r="Y37" s="138"/>
      <x:c r="Z37" s="138"/>
    </x:row>
    <x:row r="38">
      <x:c r="A38" s="138"/>
      <x:c r="B38" s="138"/>
      <x:c r="C38" s="138"/>
      <x:c r="D38" s="138"/>
      <x:c r="E38" s="138"/>
      <x:c r="F38" s="138"/>
      <x:c r="G38" s="138"/>
      <x:c r="H38" s="138"/>
      <x:c r="I38" s="138"/>
      <x:c r="J38" s="138"/>
      <x:c r="K38" s="138"/>
      <x:c r="L38" s="138"/>
      <x:c r="M38" s="138"/>
      <x:c r="N38" s="138"/>
      <x:c r="O38" s="138"/>
      <x:c r="P38" s="138"/>
      <x:c r="Q38" s="138"/>
      <x:c r="R38" s="138"/>
      <x:c r="S38" s="138"/>
      <x:c r="T38" s="138"/>
      <x:c r="U38" s="138"/>
      <x:c r="V38" s="138"/>
      <x:c r="W38" s="138"/>
      <x:c r="X38" s="138"/>
      <x:c r="Y38" s="138"/>
      <x:c r="Z38" s="138"/>
    </x:row>
    <x:row r="39">
      <x:c r="A39" s="138"/>
      <x:c r="B39" s="138"/>
      <x:c r="C39" s="138"/>
      <x:c r="D39" s="138"/>
      <x:c r="E39" s="138"/>
      <x:c r="F39" s="138"/>
      <x:c r="G39" s="138"/>
      <x:c r="H39" s="138"/>
      <x:c r="I39" s="138"/>
      <x:c r="J39" s="138"/>
      <x:c r="K39" s="138"/>
      <x:c r="L39" s="138"/>
      <x:c r="M39" s="138"/>
      <x:c r="N39" s="138"/>
      <x:c r="O39" s="138"/>
      <x:c r="P39" s="138"/>
      <x:c r="Q39" s="138"/>
      <x:c r="R39" s="138"/>
      <x:c r="S39" s="138"/>
      <x:c r="T39" s="138"/>
      <x:c r="U39" s="138"/>
      <x:c r="V39" s="138"/>
      <x:c r="W39" s="138"/>
      <x:c r="X39" s="138"/>
      <x:c r="Y39" s="138"/>
      <x:c r="Z39" s="138"/>
    </x:row>
    <x:row r="40">
      <x:c r="A40" s="138"/>
      <x:c r="B40" s="138"/>
      <x:c r="C40" s="138"/>
      <x:c r="D40" s="138"/>
      <x:c r="E40" s="138"/>
      <x:c r="F40" s="138"/>
      <x:c r="G40" s="138"/>
      <x:c r="H40" s="138"/>
      <x:c r="I40" s="138"/>
      <x:c r="J40" s="138"/>
      <x:c r="K40" s="138"/>
      <x:c r="L40" s="138"/>
      <x:c r="M40" s="138"/>
      <x:c r="N40" s="138"/>
      <x:c r="O40" s="138"/>
      <x:c r="P40" s="138"/>
      <x:c r="Q40" s="138"/>
      <x:c r="R40" s="138"/>
      <x:c r="S40" s="138"/>
      <x:c r="T40" s="138"/>
      <x:c r="U40" s="138"/>
      <x:c r="V40" s="138"/>
      <x:c r="W40" s="138"/>
      <x:c r="X40" s="138"/>
      <x:c r="Y40" s="138"/>
      <x:c r="Z40" s="138"/>
    </x:row>
    <x:row r="41">
      <x:c r="A41" s="138"/>
      <x:c r="B41" s="138"/>
      <x:c r="C41" s="138"/>
      <x:c r="D41" s="138"/>
      <x:c r="E41" s="138"/>
      <x:c r="F41" s="138"/>
      <x:c r="G41" s="138"/>
      <x:c r="H41" s="138"/>
      <x:c r="I41" s="138"/>
      <x:c r="J41" s="138"/>
      <x:c r="K41" s="138"/>
      <x:c r="L41" s="138"/>
      <x:c r="M41" s="138"/>
      <x:c r="N41" s="138"/>
      <x:c r="O41" s="138"/>
      <x:c r="P41" s="138"/>
      <x:c r="Q41" s="138"/>
      <x:c r="R41" s="138"/>
      <x:c r="S41" s="138"/>
      <x:c r="T41" s="138"/>
      <x:c r="U41" s="138"/>
      <x:c r="V41" s="138"/>
      <x:c r="W41" s="138"/>
      <x:c r="X41" s="138"/>
      <x:c r="Y41" s="138"/>
      <x:c r="Z41" s="138"/>
    </x:row>
    <x:row r="42">
      <x:c r="A42" s="138"/>
      <x:c r="B42" s="138"/>
      <x:c r="C42" s="138"/>
      <x:c r="D42" s="138"/>
      <x:c r="E42" s="138"/>
      <x:c r="F42" s="138"/>
      <x:c r="G42" s="138"/>
      <x:c r="H42" s="138"/>
      <x:c r="I42" s="138"/>
      <x:c r="J42" s="138"/>
      <x:c r="K42" s="138"/>
      <x:c r="L42" s="138"/>
      <x:c r="M42" s="138"/>
      <x:c r="N42" s="138"/>
      <x:c r="O42" s="138"/>
      <x:c r="P42" s="138"/>
      <x:c r="Q42" s="138"/>
      <x:c r="R42" s="138"/>
      <x:c r="S42" s="138"/>
      <x:c r="T42" s="138"/>
      <x:c r="U42" s="138"/>
      <x:c r="V42" s="138"/>
      <x:c r="W42" s="138"/>
      <x:c r="X42" s="138"/>
      <x:c r="Y42" s="138"/>
      <x:c r="Z42" s="138"/>
    </x:row>
    <x:row r="43">
      <x:c r="A43" s="138"/>
      <x:c r="B43" s="138"/>
      <x:c r="C43" s="138"/>
      <x:c r="D43" s="138"/>
      <x:c r="E43" s="138"/>
      <x:c r="F43" s="138"/>
      <x:c r="G43" s="138"/>
      <x:c r="H43" s="138"/>
      <x:c r="I43" s="138"/>
      <x:c r="J43" s="138"/>
      <x:c r="K43" s="138"/>
      <x:c r="L43" s="138"/>
      <x:c r="M43" s="138"/>
      <x:c r="N43" s="138"/>
      <x:c r="O43" s="138"/>
      <x:c r="P43" s="138"/>
      <x:c r="Q43" s="138"/>
      <x:c r="R43" s="138"/>
      <x:c r="S43" s="138"/>
      <x:c r="T43" s="138"/>
      <x:c r="U43" s="138"/>
      <x:c r="V43" s="138"/>
      <x:c r="W43" s="138"/>
      <x:c r="X43" s="138"/>
      <x:c r="Y43" s="138"/>
      <x:c r="Z43" s="138"/>
    </x:row>
    <x:row r="44">
      <x:c r="A44" s="138"/>
      <x:c r="B44" s="138"/>
      <x:c r="C44" s="138"/>
      <x:c r="D44" s="138"/>
      <x:c r="E44" s="138"/>
      <x:c r="F44" s="138"/>
      <x:c r="G44" s="138"/>
      <x:c r="H44" s="138"/>
      <x:c r="I44" s="138"/>
      <x:c r="J44" s="138"/>
      <x:c r="K44" s="138"/>
      <x:c r="L44" s="138"/>
      <x:c r="M44" s="138"/>
      <x:c r="N44" s="138"/>
      <x:c r="O44" s="138"/>
      <x:c r="P44" s="138"/>
      <x:c r="Q44" s="138"/>
      <x:c r="R44" s="138"/>
      <x:c r="S44" s="138"/>
      <x:c r="T44" s="138"/>
      <x:c r="U44" s="138"/>
      <x:c r="V44" s="138"/>
      <x:c r="W44" s="138"/>
      <x:c r="X44" s="138"/>
      <x:c r="Y44" s="138"/>
      <x:c r="Z44" s="138"/>
    </x:row>
    <x:row r="45">
      <x:c r="A45" s="138"/>
      <x:c r="B45" s="138"/>
      <x:c r="C45" s="138"/>
      <x:c r="D45" s="138"/>
      <x:c r="E45" s="138"/>
      <x:c r="F45" s="138"/>
      <x:c r="G45" s="138"/>
      <x:c r="H45" s="138"/>
      <x:c r="I45" s="138"/>
      <x:c r="J45" s="138"/>
      <x:c r="K45" s="138"/>
      <x:c r="L45" s="138"/>
      <x:c r="M45" s="138"/>
      <x:c r="N45" s="138"/>
      <x:c r="O45" s="138"/>
      <x:c r="P45" s="138"/>
      <x:c r="Q45" s="138"/>
      <x:c r="R45" s="138"/>
      <x:c r="S45" s="138"/>
      <x:c r="T45" s="138"/>
      <x:c r="U45" s="138"/>
      <x:c r="V45" s="138"/>
      <x:c r="W45" s="138"/>
      <x:c r="X45" s="138"/>
      <x:c r="Y45" s="138"/>
      <x:c r="Z45" s="138"/>
    </x:row>
    <x:row r="46">
      <x:c r="A46" s="138"/>
      <x:c r="B46" s="138"/>
      <x:c r="C46" s="138"/>
      <x:c r="D46" s="138"/>
      <x:c r="E46" s="138"/>
      <x:c r="F46" s="138"/>
      <x:c r="G46" s="138"/>
      <x:c r="H46" s="138"/>
      <x:c r="I46" s="138"/>
      <x:c r="J46" s="138"/>
      <x:c r="K46" s="138"/>
      <x:c r="L46" s="138"/>
      <x:c r="M46" s="138"/>
      <x:c r="N46" s="138"/>
      <x:c r="O46" s="138"/>
      <x:c r="P46" s="138"/>
      <x:c r="Q46" s="138"/>
      <x:c r="R46" s="138"/>
      <x:c r="S46" s="138"/>
      <x:c r="T46" s="138"/>
      <x:c r="U46" s="138"/>
      <x:c r="V46" s="138"/>
      <x:c r="W46" s="138"/>
      <x:c r="X46" s="138"/>
      <x:c r="Y46" s="138"/>
      <x:c r="Z46" s="138"/>
    </x:row>
    <x:row r="47">
      <x:c r="A47" s="138"/>
      <x:c r="B47" s="138"/>
      <x:c r="C47" s="138"/>
      <x:c r="D47" s="138"/>
      <x:c r="E47" s="138"/>
      <x:c r="F47" s="138"/>
      <x:c r="G47" s="138"/>
      <x:c r="H47" s="138"/>
      <x:c r="I47" s="138"/>
      <x:c r="J47" s="138"/>
      <x:c r="K47" s="138"/>
      <x:c r="L47" s="138"/>
      <x:c r="M47" s="138"/>
      <x:c r="N47" s="138"/>
      <x:c r="O47" s="138"/>
      <x:c r="P47" s="138"/>
      <x:c r="Q47" s="138"/>
      <x:c r="R47" s="138"/>
      <x:c r="S47" s="138"/>
      <x:c r="T47" s="138"/>
      <x:c r="U47" s="138"/>
      <x:c r="V47" s="138"/>
      <x:c r="W47" s="138"/>
      <x:c r="X47" s="138"/>
      <x:c r="Y47" s="138"/>
      <x:c r="Z47" s="138"/>
    </x:row>
    <x:row r="48">
      <x:c r="A48" s="138"/>
      <x:c r="B48" s="138"/>
      <x:c r="C48" s="138"/>
      <x:c r="D48" s="138"/>
      <x:c r="E48" s="138"/>
      <x:c r="F48" s="138"/>
      <x:c r="G48" s="138"/>
      <x:c r="H48" s="138"/>
      <x:c r="I48" s="138"/>
      <x:c r="J48" s="138"/>
      <x:c r="K48" s="138"/>
      <x:c r="L48" s="138"/>
      <x:c r="M48" s="138"/>
      <x:c r="N48" s="138"/>
      <x:c r="O48" s="138"/>
      <x:c r="P48" s="138"/>
      <x:c r="Q48" s="138"/>
      <x:c r="R48" s="138"/>
      <x:c r="S48" s="138"/>
      <x:c r="T48" s="138"/>
      <x:c r="U48" s="138"/>
      <x:c r="V48" s="138"/>
      <x:c r="W48" s="138"/>
      <x:c r="X48" s="138"/>
      <x:c r="Y48" s="138"/>
      <x:c r="Z48" s="138"/>
    </x:row>
    <x:row r="49">
      <x:c r="A49" s="138"/>
      <x:c r="B49" s="138"/>
      <x:c r="C49" s="138"/>
      <x:c r="D49" s="138"/>
      <x:c r="E49" s="138"/>
      <x:c r="F49" s="138"/>
      <x:c r="G49" s="138"/>
      <x:c r="H49" s="138"/>
      <x:c r="I49" s="138"/>
      <x:c r="J49" s="138"/>
      <x:c r="K49" s="138"/>
      <x:c r="L49" s="138"/>
      <x:c r="M49" s="138"/>
      <x:c r="N49" s="138"/>
      <x:c r="O49" s="138"/>
      <x:c r="P49" s="138"/>
      <x:c r="Q49" s="138"/>
      <x:c r="R49" s="138"/>
      <x:c r="S49" s="138"/>
      <x:c r="T49" s="138"/>
      <x:c r="U49" s="138"/>
      <x:c r="V49" s="138"/>
      <x:c r="W49" s="138"/>
      <x:c r="X49" s="138"/>
      <x:c r="Y49" s="138"/>
      <x:c r="Z49" s="138"/>
    </x:row>
    <x:row r="50">
      <x:c r="A50" s="138"/>
      <x:c r="B50" s="138"/>
      <x:c r="C50" s="138"/>
      <x:c r="D50" s="138"/>
      <x:c r="E50" s="138"/>
      <x:c r="F50" s="138"/>
      <x:c r="G50" s="138"/>
      <x:c r="H50" s="138"/>
      <x:c r="I50" s="138"/>
      <x:c r="J50" s="138"/>
      <x:c r="K50" s="138"/>
      <x:c r="L50" s="138"/>
      <x:c r="M50" s="138"/>
      <x:c r="N50" s="138"/>
      <x:c r="O50" s="138"/>
      <x:c r="P50" s="138"/>
      <x:c r="Q50" s="138"/>
      <x:c r="R50" s="138"/>
      <x:c r="S50" s="138"/>
      <x:c r="T50" s="138"/>
      <x:c r="U50" s="138"/>
      <x:c r="V50" s="138"/>
      <x:c r="W50" s="138"/>
      <x:c r="X50" s="138"/>
      <x:c r="Y50" s="138"/>
      <x:c r="Z50" s="138"/>
    </x:row>
    <x:row r="51">
      <x:c r="A51" s="138"/>
      <x:c r="B51" s="138"/>
      <x:c r="C51" s="138"/>
      <x:c r="D51" s="138"/>
      <x:c r="E51" s="138"/>
      <x:c r="F51" s="138"/>
      <x:c r="G51" s="138"/>
      <x:c r="H51" s="138"/>
      <x:c r="I51" s="138"/>
      <x:c r="J51" s="138"/>
      <x:c r="K51" s="138"/>
      <x:c r="L51" s="138"/>
      <x:c r="M51" s="138"/>
      <x:c r="N51" s="138"/>
      <x:c r="O51" s="138"/>
      <x:c r="P51" s="138"/>
      <x:c r="Q51" s="138"/>
      <x:c r="R51" s="138"/>
      <x:c r="S51" s="138"/>
      <x:c r="T51" s="138"/>
      <x:c r="U51" s="138"/>
      <x:c r="V51" s="138"/>
      <x:c r="W51" s="138"/>
      <x:c r="X51" s="138"/>
      <x:c r="Y51" s="138"/>
      <x:c r="Z51" s="138"/>
    </x:row>
    <x:row r="52">
      <x:c r="A52" s="138"/>
      <x:c r="B52" s="138"/>
      <x:c r="C52" s="138"/>
      <x:c r="D52" s="138"/>
      <x:c r="E52" s="138"/>
      <x:c r="F52" s="138"/>
      <x:c r="G52" s="138"/>
      <x:c r="H52" s="138"/>
      <x:c r="I52" s="138"/>
      <x:c r="J52" s="138"/>
      <x:c r="K52" s="138"/>
      <x:c r="L52" s="138"/>
      <x:c r="M52" s="138"/>
      <x:c r="N52" s="138"/>
      <x:c r="O52" s="138"/>
      <x:c r="P52" s="138"/>
      <x:c r="Q52" s="138"/>
      <x:c r="R52" s="138"/>
      <x:c r="S52" s="138"/>
      <x:c r="T52" s="138"/>
      <x:c r="U52" s="138"/>
      <x:c r="V52" s="138"/>
      <x:c r="W52" s="138"/>
      <x:c r="X52" s="138"/>
      <x:c r="Y52" s="138"/>
      <x:c r="Z52" s="138"/>
    </x:row>
    <x:row r="53">
      <x:c r="A53" s="138"/>
      <x:c r="B53" s="138"/>
      <x:c r="C53" s="138"/>
      <x:c r="D53" s="138"/>
      <x:c r="E53" s="138"/>
      <x:c r="F53" s="138"/>
      <x:c r="G53" s="138"/>
      <x:c r="H53" s="138"/>
      <x:c r="I53" s="138"/>
      <x:c r="J53" s="138"/>
      <x:c r="K53" s="138"/>
      <x:c r="L53" s="138"/>
      <x:c r="M53" s="138"/>
      <x:c r="N53" s="138"/>
      <x:c r="O53" s="138"/>
      <x:c r="P53" s="138"/>
      <x:c r="Q53" s="138"/>
      <x:c r="R53" s="138"/>
      <x:c r="S53" s="138"/>
      <x:c r="T53" s="138"/>
      <x:c r="U53" s="138"/>
      <x:c r="V53" s="138"/>
      <x:c r="W53" s="138"/>
      <x:c r="X53" s="138"/>
      <x:c r="Y53" s="138"/>
      <x:c r="Z53" s="138"/>
    </x:row>
    <x:row r="54">
      <x:c r="A54" s="138"/>
      <x:c r="B54" s="138"/>
      <x:c r="C54" s="138"/>
      <x:c r="D54" s="138"/>
      <x:c r="E54" s="138"/>
      <x:c r="F54" s="138"/>
      <x:c r="G54" s="138"/>
      <x:c r="H54" s="138"/>
      <x:c r="I54" s="138"/>
      <x:c r="J54" s="138"/>
      <x:c r="K54" s="138"/>
      <x:c r="L54" s="138"/>
      <x:c r="M54" s="138"/>
      <x:c r="N54" s="138"/>
      <x:c r="O54" s="138"/>
      <x:c r="P54" s="138"/>
      <x:c r="Q54" s="138"/>
      <x:c r="R54" s="138"/>
      <x:c r="S54" s="138"/>
      <x:c r="T54" s="138"/>
      <x:c r="U54" s="138"/>
      <x:c r="V54" s="138"/>
      <x:c r="W54" s="138"/>
      <x:c r="X54" s="138"/>
      <x:c r="Y54" s="138"/>
      <x:c r="Z54" s="138"/>
    </x:row>
    <x:row r="55">
      <x:c r="A55" s="138"/>
      <x:c r="B55" s="138"/>
      <x:c r="C55" s="138"/>
      <x:c r="D55" s="138"/>
      <x:c r="E55" s="138"/>
      <x:c r="F55" s="138"/>
      <x:c r="G55" s="138"/>
      <x:c r="H55" s="138"/>
      <x:c r="I55" s="138"/>
      <x:c r="J55" s="138"/>
      <x:c r="K55" s="138"/>
      <x:c r="L55" s="138"/>
      <x:c r="M55" s="138"/>
      <x:c r="N55" s="138"/>
      <x:c r="O55" s="138"/>
      <x:c r="P55" s="138"/>
      <x:c r="Q55" s="138"/>
      <x:c r="R55" s="138"/>
      <x:c r="S55" s="138"/>
      <x:c r="T55" s="138"/>
      <x:c r="U55" s="138"/>
      <x:c r="V55" s="138"/>
      <x:c r="W55" s="138"/>
      <x:c r="X55" s="138"/>
      <x:c r="Y55" s="138"/>
      <x:c r="Z55" s="138"/>
    </x:row>
    <x:row r="56">
      <x:c r="A56" s="138"/>
      <x:c r="B56" s="138"/>
      <x:c r="C56" s="138"/>
      <x:c r="D56" s="138"/>
      <x:c r="E56" s="138"/>
      <x:c r="F56" s="138"/>
      <x:c r="G56" s="138"/>
      <x:c r="H56" s="138"/>
      <x:c r="I56" s="138"/>
      <x:c r="J56" s="138"/>
      <x:c r="K56" s="138"/>
      <x:c r="L56" s="138"/>
      <x:c r="M56" s="138"/>
      <x:c r="N56" s="138"/>
      <x:c r="O56" s="138"/>
      <x:c r="P56" s="138"/>
      <x:c r="Q56" s="138"/>
      <x:c r="R56" s="138"/>
      <x:c r="S56" s="138"/>
      <x:c r="T56" s="138"/>
      <x:c r="U56" s="138"/>
      <x:c r="V56" s="138"/>
      <x:c r="W56" s="138"/>
      <x:c r="X56" s="138"/>
      <x:c r="Y56" s="138"/>
      <x:c r="Z56" s="138"/>
    </x:row>
    <x:row r="57">
      <x:c r="A57" s="138"/>
      <x:c r="B57" s="138"/>
      <x:c r="C57" s="138"/>
      <x:c r="D57" s="138"/>
      <x:c r="E57" s="138"/>
      <x:c r="F57" s="138"/>
      <x:c r="G57" s="138"/>
      <x:c r="H57" s="138"/>
      <x:c r="I57" s="138"/>
      <x:c r="J57" s="138"/>
      <x:c r="K57" s="138"/>
      <x:c r="L57" s="138"/>
      <x:c r="M57" s="138"/>
      <x:c r="N57" s="138"/>
      <x:c r="O57" s="138"/>
      <x:c r="P57" s="138"/>
      <x:c r="Q57" s="138"/>
      <x:c r="R57" s="138"/>
      <x:c r="S57" s="138"/>
      <x:c r="T57" s="138"/>
      <x:c r="U57" s="138"/>
      <x:c r="V57" s="138"/>
      <x:c r="W57" s="138"/>
      <x:c r="X57" s="138"/>
      <x:c r="Y57" s="138"/>
      <x:c r="Z57" s="138"/>
    </x:row>
    <x:row r="58">
      <x:c r="A58" s="138"/>
      <x:c r="B58" s="138"/>
      <x:c r="C58" s="138"/>
      <x:c r="D58" s="138"/>
      <x:c r="E58" s="138"/>
      <x:c r="F58" s="138"/>
      <x:c r="G58" s="138"/>
      <x:c r="H58" s="138"/>
      <x:c r="I58" s="138"/>
      <x:c r="J58" s="138"/>
      <x:c r="K58" s="138"/>
      <x:c r="L58" s="138"/>
      <x:c r="M58" s="138"/>
      <x:c r="N58" s="138"/>
      <x:c r="O58" s="138"/>
      <x:c r="P58" s="138"/>
      <x:c r="Q58" s="138"/>
      <x:c r="R58" s="138"/>
      <x:c r="S58" s="138"/>
      <x:c r="T58" s="138"/>
      <x:c r="U58" s="138"/>
      <x:c r="V58" s="138"/>
      <x:c r="W58" s="138"/>
      <x:c r="X58" s="138"/>
      <x:c r="Y58" s="138"/>
      <x:c r="Z58" s="138"/>
    </x:row>
    <x:row r="59">
      <x:c r="A59" s="138"/>
      <x:c r="B59" s="138"/>
      <x:c r="C59" s="138"/>
      <x:c r="D59" s="138"/>
      <x:c r="E59" s="138"/>
      <x:c r="F59" s="138"/>
      <x:c r="G59" s="138"/>
      <x:c r="H59" s="138"/>
      <x:c r="I59" s="138"/>
      <x:c r="J59" s="138"/>
      <x:c r="K59" s="138"/>
      <x:c r="L59" s="138"/>
      <x:c r="M59" s="138"/>
      <x:c r="N59" s="138"/>
      <x:c r="O59" s="138"/>
      <x:c r="P59" s="138"/>
      <x:c r="Q59" s="138"/>
      <x:c r="R59" s="138"/>
      <x:c r="S59" s="138"/>
      <x:c r="T59" s="138"/>
      <x:c r="U59" s="138"/>
      <x:c r="V59" s="138"/>
      <x:c r="W59" s="138"/>
      <x:c r="X59" s="138"/>
      <x:c r="Y59" s="138"/>
      <x:c r="Z59" s="138"/>
    </x:row>
    <x:row r="60">
      <x:c r="A60" s="138"/>
      <x:c r="B60" s="138"/>
      <x:c r="C60" s="138"/>
      <x:c r="D60" s="138"/>
      <x:c r="E60" s="138"/>
      <x:c r="F60" s="138"/>
      <x:c r="G60" s="138"/>
      <x:c r="H60" s="138"/>
      <x:c r="I60" s="138"/>
      <x:c r="J60" s="138"/>
      <x:c r="K60" s="138"/>
      <x:c r="L60" s="138"/>
      <x:c r="M60" s="138"/>
      <x:c r="N60" s="138"/>
      <x:c r="O60" s="138"/>
      <x:c r="P60" s="138"/>
      <x:c r="Q60" s="138"/>
      <x:c r="R60" s="138"/>
      <x:c r="S60" s="138"/>
      <x:c r="T60" s="138"/>
      <x:c r="U60" s="138"/>
      <x:c r="V60" s="138"/>
      <x:c r="W60" s="138"/>
      <x:c r="X60" s="138"/>
      <x:c r="Y60" s="138"/>
      <x:c r="Z60" s="138"/>
    </x:row>
    <x:row r="61">
      <x:c r="A61" s="138"/>
      <x:c r="B61" s="138"/>
      <x:c r="C61" s="138"/>
      <x:c r="D61" s="138"/>
      <x:c r="E61" s="138"/>
      <x:c r="F61" s="138"/>
      <x:c r="G61" s="138"/>
      <x:c r="H61" s="138"/>
      <x:c r="I61" s="138"/>
      <x:c r="J61" s="138"/>
      <x:c r="K61" s="138"/>
      <x:c r="L61" s="138"/>
      <x:c r="M61" s="138"/>
      <x:c r="N61" s="138"/>
      <x:c r="O61" s="138"/>
      <x:c r="P61" s="138"/>
      <x:c r="Q61" s="138"/>
      <x:c r="R61" s="138"/>
      <x:c r="S61" s="138"/>
      <x:c r="T61" s="138"/>
      <x:c r="U61" s="138"/>
      <x:c r="V61" s="138"/>
      <x:c r="W61" s="138"/>
      <x:c r="X61" s="138"/>
      <x:c r="Y61" s="138"/>
      <x:c r="Z61" s="138"/>
    </x:row>
    <x:row r="62">
      <x:c r="A62" s="138"/>
      <x:c r="B62" s="138"/>
      <x:c r="C62" s="138"/>
      <x:c r="D62" s="138"/>
      <x:c r="E62" s="138"/>
      <x:c r="F62" s="138"/>
      <x:c r="G62" s="138"/>
      <x:c r="H62" s="138"/>
      <x:c r="I62" s="138"/>
      <x:c r="J62" s="138"/>
      <x:c r="K62" s="138"/>
      <x:c r="L62" s="138"/>
      <x:c r="M62" s="138"/>
      <x:c r="N62" s="138"/>
      <x:c r="O62" s="138"/>
      <x:c r="P62" s="138"/>
      <x:c r="Q62" s="138"/>
      <x:c r="R62" s="138"/>
      <x:c r="S62" s="138"/>
      <x:c r="T62" s="138"/>
      <x:c r="U62" s="138"/>
      <x:c r="V62" s="138"/>
      <x:c r="W62" s="138"/>
      <x:c r="X62" s="138"/>
      <x:c r="Y62" s="138"/>
      <x:c r="Z62" s="138"/>
    </x:row>
    <x:row r="63">
      <x:c r="A63" s="138"/>
      <x:c r="B63" s="138"/>
      <x:c r="C63" s="138"/>
      <x:c r="D63" s="138"/>
      <x:c r="E63" s="138"/>
      <x:c r="F63" s="138"/>
      <x:c r="G63" s="138"/>
      <x:c r="H63" s="138"/>
      <x:c r="I63" s="138"/>
      <x:c r="J63" s="138"/>
      <x:c r="K63" s="138"/>
      <x:c r="L63" s="138"/>
      <x:c r="M63" s="138"/>
      <x:c r="N63" s="138"/>
      <x:c r="O63" s="138"/>
      <x:c r="P63" s="138"/>
      <x:c r="Q63" s="138"/>
      <x:c r="R63" s="138"/>
      <x:c r="S63" s="138"/>
      <x:c r="T63" s="138"/>
      <x:c r="U63" s="138"/>
      <x:c r="V63" s="138"/>
      <x:c r="W63" s="138"/>
      <x:c r="X63" s="138"/>
      <x:c r="Y63" s="138"/>
      <x:c r="Z63" s="138"/>
    </x:row>
    <x:row r="64">
      <x:c r="A64" s="138"/>
      <x:c r="B64" s="138"/>
      <x:c r="C64" s="138"/>
      <x:c r="D64" s="138"/>
      <x:c r="E64" s="138"/>
      <x:c r="F64" s="138"/>
      <x:c r="G64" s="138"/>
      <x:c r="H64" s="138"/>
      <x:c r="I64" s="138"/>
      <x:c r="J64" s="138"/>
      <x:c r="K64" s="138"/>
      <x:c r="L64" s="138"/>
      <x:c r="M64" s="138"/>
      <x:c r="N64" s="138"/>
      <x:c r="O64" s="138"/>
      <x:c r="P64" s="138"/>
      <x:c r="Q64" s="138"/>
      <x:c r="R64" s="138"/>
      <x:c r="S64" s="138"/>
      <x:c r="T64" s="138"/>
      <x:c r="U64" s="138"/>
      <x:c r="V64" s="138"/>
      <x:c r="W64" s="138"/>
      <x:c r="X64" s="138"/>
      <x:c r="Y64" s="138"/>
      <x:c r="Z64" s="138"/>
    </x:row>
    <x:row r="65">
      <x:c r="A65" s="138"/>
      <x:c r="B65" s="138"/>
      <x:c r="C65" s="138"/>
      <x:c r="D65" s="138"/>
      <x:c r="E65" s="138"/>
      <x:c r="F65" s="138"/>
      <x:c r="G65" s="138"/>
      <x:c r="H65" s="138"/>
      <x:c r="I65" s="138"/>
      <x:c r="J65" s="138"/>
      <x:c r="K65" s="138"/>
      <x:c r="L65" s="138"/>
      <x:c r="M65" s="138"/>
      <x:c r="N65" s="138"/>
      <x:c r="O65" s="138"/>
      <x:c r="P65" s="138"/>
      <x:c r="Q65" s="138"/>
      <x:c r="R65" s="138"/>
      <x:c r="S65" s="138"/>
      <x:c r="T65" s="138"/>
      <x:c r="U65" s="138"/>
      <x:c r="V65" s="138"/>
      <x:c r="W65" s="138"/>
      <x:c r="X65" s="138"/>
      <x:c r="Y65" s="138"/>
      <x:c r="Z65" s="138"/>
    </x:row>
    <x:row r="66">
      <x:c r="A66" s="138"/>
      <x:c r="B66" s="138"/>
      <x:c r="C66" s="138"/>
      <x:c r="D66" s="138"/>
      <x:c r="E66" s="138"/>
      <x:c r="F66" s="138"/>
      <x:c r="G66" s="138"/>
      <x:c r="H66" s="138"/>
      <x:c r="I66" s="138"/>
      <x:c r="J66" s="138"/>
      <x:c r="K66" s="138"/>
      <x:c r="L66" s="138"/>
      <x:c r="M66" s="138"/>
      <x:c r="N66" s="138"/>
      <x:c r="O66" s="138"/>
      <x:c r="P66" s="138"/>
      <x:c r="Q66" s="138"/>
      <x:c r="R66" s="138"/>
      <x:c r="S66" s="138"/>
      <x:c r="T66" s="138"/>
      <x:c r="U66" s="138"/>
      <x:c r="V66" s="138"/>
      <x:c r="W66" s="138"/>
      <x:c r="X66" s="138"/>
      <x:c r="Y66" s="138"/>
      <x:c r="Z66" s="138"/>
    </x:row>
    <x:row r="67">
      <x:c r="A67" s="138"/>
      <x:c r="B67" s="138"/>
      <x:c r="C67" s="138"/>
      <x:c r="D67" s="138"/>
      <x:c r="E67" s="138"/>
      <x:c r="F67" s="138"/>
      <x:c r="G67" s="138"/>
      <x:c r="H67" s="138"/>
      <x:c r="I67" s="138"/>
      <x:c r="J67" s="138"/>
      <x:c r="K67" s="138"/>
      <x:c r="L67" s="138"/>
      <x:c r="M67" s="138"/>
      <x:c r="N67" s="138"/>
      <x:c r="O67" s="138"/>
      <x:c r="P67" s="138"/>
      <x:c r="Q67" s="138"/>
      <x:c r="R67" s="138"/>
      <x:c r="S67" s="138"/>
      <x:c r="T67" s="138"/>
      <x:c r="U67" s="138"/>
      <x:c r="V67" s="138"/>
      <x:c r="W67" s="138"/>
      <x:c r="X67" s="138"/>
      <x:c r="Y67" s="138"/>
      <x:c r="Z67" s="138"/>
    </x:row>
    <x:row r="68">
      <x:c r="A68" s="138"/>
      <x:c r="B68" s="138"/>
      <x:c r="C68" s="138"/>
      <x:c r="D68" s="138"/>
      <x:c r="E68" s="138"/>
      <x:c r="F68" s="138"/>
      <x:c r="G68" s="138"/>
      <x:c r="H68" s="138"/>
      <x:c r="I68" s="138"/>
      <x:c r="J68" s="138"/>
      <x:c r="K68" s="138"/>
      <x:c r="L68" s="138"/>
      <x:c r="M68" s="138"/>
      <x:c r="N68" s="138"/>
      <x:c r="O68" s="138"/>
      <x:c r="P68" s="138"/>
      <x:c r="Q68" s="138"/>
      <x:c r="R68" s="138"/>
      <x:c r="S68" s="138"/>
      <x:c r="T68" s="138"/>
      <x:c r="U68" s="138"/>
      <x:c r="V68" s="138"/>
      <x:c r="W68" s="138"/>
      <x:c r="X68" s="138"/>
      <x:c r="Y68" s="138"/>
      <x:c r="Z68" s="138"/>
    </x:row>
    <x:row r="69">
      <x:c r="A69" s="138"/>
      <x:c r="B69" s="138"/>
      <x:c r="C69" s="138"/>
      <x:c r="D69" s="138"/>
      <x:c r="E69" s="138"/>
      <x:c r="F69" s="138"/>
      <x:c r="G69" s="138"/>
      <x:c r="H69" s="138"/>
      <x:c r="I69" s="138"/>
      <x:c r="J69" s="138"/>
      <x:c r="K69" s="138"/>
      <x:c r="L69" s="138"/>
      <x:c r="M69" s="138"/>
      <x:c r="N69" s="138"/>
      <x:c r="O69" s="138"/>
      <x:c r="P69" s="138"/>
      <x:c r="Q69" s="138"/>
      <x:c r="R69" s="138"/>
      <x:c r="S69" s="138"/>
      <x:c r="T69" s="138"/>
      <x:c r="U69" s="138"/>
      <x:c r="V69" s="138"/>
      <x:c r="W69" s="138"/>
      <x:c r="X69" s="138"/>
      <x:c r="Y69" s="138"/>
      <x:c r="Z69" s="138"/>
    </x:row>
    <x:row r="70">
      <x:c r="A70" s="138"/>
      <x:c r="B70" s="138"/>
      <x:c r="C70" s="138"/>
      <x:c r="D70" s="138"/>
      <x:c r="E70" s="138"/>
      <x:c r="F70" s="138"/>
      <x:c r="G70" s="138"/>
      <x:c r="H70" s="138"/>
      <x:c r="I70" s="138"/>
      <x:c r="J70" s="138"/>
      <x:c r="K70" s="138"/>
      <x:c r="L70" s="138"/>
      <x:c r="M70" s="138"/>
      <x:c r="N70" s="138"/>
      <x:c r="O70" s="138"/>
      <x:c r="P70" s="138"/>
      <x:c r="Q70" s="138"/>
      <x:c r="R70" s="138"/>
      <x:c r="S70" s="138"/>
      <x:c r="T70" s="138"/>
      <x:c r="U70" s="138"/>
      <x:c r="V70" s="138"/>
      <x:c r="W70" s="138"/>
      <x:c r="X70" s="138"/>
      <x:c r="Y70" s="138"/>
      <x:c r="Z70" s="138"/>
    </x:row>
    <x:row r="71">
      <x:c r="A71" s="138"/>
      <x:c r="B71" s="138"/>
      <x:c r="C71" s="138"/>
      <x:c r="D71" s="138"/>
      <x:c r="E71" s="138"/>
      <x:c r="F71" s="138"/>
      <x:c r="G71" s="138"/>
      <x:c r="H71" s="138"/>
      <x:c r="I71" s="138"/>
      <x:c r="J71" s="138"/>
      <x:c r="K71" s="138"/>
      <x:c r="L71" s="138"/>
      <x:c r="M71" s="138"/>
      <x:c r="N71" s="138"/>
      <x:c r="O71" s="138"/>
      <x:c r="P71" s="138"/>
      <x:c r="Q71" s="138"/>
      <x:c r="R71" s="138"/>
      <x:c r="S71" s="138"/>
      <x:c r="T71" s="138"/>
      <x:c r="U71" s="138"/>
      <x:c r="V71" s="138"/>
      <x:c r="W71" s="138"/>
      <x:c r="X71" s="138"/>
      <x:c r="Y71" s="138"/>
      <x:c r="Z71" s="138"/>
    </x:row>
    <x:row r="72">
      <x:c r="A72" s="138"/>
      <x:c r="B72" s="138"/>
      <x:c r="C72" s="138"/>
      <x:c r="D72" s="138"/>
      <x:c r="E72" s="138"/>
      <x:c r="F72" s="138"/>
      <x:c r="G72" s="138"/>
      <x:c r="H72" s="138"/>
      <x:c r="I72" s="138"/>
      <x:c r="J72" s="138"/>
      <x:c r="K72" s="138"/>
      <x:c r="L72" s="138"/>
      <x:c r="M72" s="138"/>
      <x:c r="N72" s="138"/>
      <x:c r="O72" s="138"/>
      <x:c r="P72" s="138"/>
      <x:c r="Q72" s="138"/>
      <x:c r="R72" s="138"/>
      <x:c r="S72" s="138"/>
      <x:c r="T72" s="138"/>
      <x:c r="U72" s="138"/>
      <x:c r="V72" s="138"/>
      <x:c r="W72" s="138"/>
      <x:c r="X72" s="138"/>
      <x:c r="Y72" s="138"/>
      <x:c r="Z72" s="138"/>
    </x:row>
    <x:row r="73">
      <x:c r="A73" s="138"/>
      <x:c r="B73" s="138"/>
      <x:c r="C73" s="138"/>
      <x:c r="D73" s="138"/>
      <x:c r="E73" s="138"/>
      <x:c r="F73" s="138"/>
      <x:c r="G73" s="138"/>
      <x:c r="H73" s="138"/>
      <x:c r="I73" s="138"/>
      <x:c r="J73" s="138"/>
      <x:c r="K73" s="138"/>
      <x:c r="L73" s="138"/>
      <x:c r="M73" s="138"/>
      <x:c r="N73" s="138"/>
      <x:c r="O73" s="138"/>
      <x:c r="P73" s="138"/>
      <x:c r="Q73" s="138"/>
      <x:c r="R73" s="138"/>
      <x:c r="S73" s="138"/>
      <x:c r="T73" s="138"/>
      <x:c r="U73" s="138"/>
      <x:c r="V73" s="138"/>
      <x:c r="W73" s="138"/>
      <x:c r="X73" s="138"/>
      <x:c r="Y73" s="138"/>
      <x:c r="Z73" s="138"/>
    </x:row>
    <x:row r="74">
      <x:c r="A74" s="138"/>
      <x:c r="B74" s="138"/>
      <x:c r="C74" s="138"/>
      <x:c r="D74" s="138"/>
      <x:c r="E74" s="138"/>
      <x:c r="F74" s="138"/>
      <x:c r="G74" s="138"/>
      <x:c r="H74" s="138"/>
      <x:c r="I74" s="138"/>
      <x:c r="J74" s="138"/>
      <x:c r="K74" s="138"/>
      <x:c r="L74" s="138"/>
      <x:c r="M74" s="138"/>
      <x:c r="N74" s="138"/>
      <x:c r="O74" s="138"/>
      <x:c r="P74" s="138"/>
      <x:c r="Q74" s="138"/>
      <x:c r="R74" s="138"/>
      <x:c r="S74" s="138"/>
      <x:c r="T74" s="138"/>
      <x:c r="U74" s="138"/>
      <x:c r="V74" s="138"/>
      <x:c r="W74" s="138"/>
      <x:c r="X74" s="138"/>
      <x:c r="Y74" s="138"/>
      <x:c r="Z74" s="138"/>
    </x:row>
    <x:row r="75">
      <x:c r="A75" s="138"/>
      <x:c r="B75" s="138"/>
      <x:c r="C75" s="138"/>
      <x:c r="D75" s="138"/>
      <x:c r="E75" s="138"/>
      <x:c r="F75" s="138"/>
      <x:c r="G75" s="138"/>
      <x:c r="H75" s="138"/>
      <x:c r="I75" s="138"/>
      <x:c r="J75" s="138"/>
      <x:c r="K75" s="138"/>
      <x:c r="L75" s="138"/>
      <x:c r="M75" s="138"/>
      <x:c r="N75" s="138"/>
      <x:c r="O75" s="138"/>
      <x:c r="P75" s="138"/>
      <x:c r="Q75" s="138"/>
      <x:c r="R75" s="138"/>
      <x:c r="S75" s="138"/>
      <x:c r="T75" s="138"/>
      <x:c r="U75" s="138"/>
      <x:c r="V75" s="138"/>
      <x:c r="W75" s="138"/>
      <x:c r="X75" s="138"/>
      <x:c r="Y75" s="138"/>
      <x:c r="Z75" s="138"/>
    </x:row>
    <x:row r="76">
      <x:c r="A76" s="138"/>
      <x:c r="B76" s="138"/>
      <x:c r="C76" s="138"/>
      <x:c r="D76" s="138"/>
      <x:c r="E76" s="138"/>
      <x:c r="F76" s="138"/>
      <x:c r="G76" s="138"/>
      <x:c r="H76" s="138"/>
      <x:c r="I76" s="138"/>
      <x:c r="J76" s="138"/>
      <x:c r="K76" s="138"/>
      <x:c r="L76" s="138"/>
      <x:c r="M76" s="138"/>
      <x:c r="N76" s="138"/>
      <x:c r="O76" s="138"/>
      <x:c r="P76" s="138"/>
      <x:c r="Q76" s="138"/>
      <x:c r="R76" s="138"/>
      <x:c r="S76" s="138"/>
      <x:c r="T76" s="138"/>
      <x:c r="U76" s="138"/>
      <x:c r="V76" s="138"/>
      <x:c r="W76" s="138"/>
      <x:c r="X76" s="138"/>
      <x:c r="Y76" s="138"/>
      <x:c r="Z76" s="138"/>
    </x:row>
    <x:row r="77">
      <x:c r="A77" s="138"/>
      <x:c r="B77" s="138"/>
      <x:c r="C77" s="138"/>
      <x:c r="D77" s="138"/>
      <x:c r="E77" s="138"/>
      <x:c r="F77" s="138"/>
      <x:c r="G77" s="138"/>
      <x:c r="H77" s="138"/>
      <x:c r="I77" s="138"/>
      <x:c r="J77" s="138"/>
      <x:c r="K77" s="138"/>
      <x:c r="L77" s="138"/>
      <x:c r="M77" s="138"/>
      <x:c r="N77" s="138"/>
      <x:c r="O77" s="138"/>
      <x:c r="P77" s="138"/>
      <x:c r="Q77" s="138"/>
      <x:c r="R77" s="138"/>
      <x:c r="S77" s="138"/>
      <x:c r="T77" s="138"/>
      <x:c r="U77" s="138"/>
      <x:c r="V77" s="138"/>
      <x:c r="W77" s="138"/>
      <x:c r="X77" s="138"/>
      <x:c r="Y77" s="138"/>
      <x:c r="Z77" s="138"/>
    </x:row>
    <x:row r="78">
      <x:c r="A78" s="138"/>
      <x:c r="B78" s="138"/>
      <x:c r="C78" s="138"/>
      <x:c r="D78" s="138"/>
      <x:c r="E78" s="138"/>
      <x:c r="F78" s="138"/>
      <x:c r="G78" s="138"/>
      <x:c r="H78" s="138"/>
      <x:c r="I78" s="138"/>
      <x:c r="J78" s="138"/>
      <x:c r="K78" s="138"/>
      <x:c r="L78" s="138"/>
      <x:c r="M78" s="138"/>
      <x:c r="N78" s="138"/>
      <x:c r="O78" s="138"/>
      <x:c r="P78" s="138"/>
      <x:c r="Q78" s="138"/>
      <x:c r="R78" s="138"/>
      <x:c r="S78" s="138"/>
      <x:c r="T78" s="138"/>
      <x:c r="U78" s="138"/>
      <x:c r="V78" s="138"/>
      <x:c r="W78" s="138"/>
      <x:c r="X78" s="138"/>
      <x:c r="Y78" s="138"/>
      <x:c r="Z78" s="138"/>
    </x:row>
    <x:row r="79">
      <x:c r="A79" s="138"/>
      <x:c r="B79" s="138"/>
      <x:c r="C79" s="138"/>
      <x:c r="D79" s="138"/>
      <x:c r="E79" s="138"/>
      <x:c r="F79" s="138"/>
      <x:c r="G79" s="138"/>
      <x:c r="H79" s="138"/>
      <x:c r="I79" s="138"/>
      <x:c r="J79" s="138"/>
      <x:c r="K79" s="138"/>
      <x:c r="L79" s="138"/>
      <x:c r="M79" s="138"/>
      <x:c r="N79" s="138"/>
      <x:c r="O79" s="138"/>
      <x:c r="P79" s="138"/>
      <x:c r="Q79" s="138"/>
      <x:c r="R79" s="138"/>
      <x:c r="S79" s="138"/>
      <x:c r="T79" s="138"/>
      <x:c r="U79" s="138"/>
      <x:c r="V79" s="138"/>
      <x:c r="W79" s="138"/>
      <x:c r="X79" s="138"/>
      <x:c r="Y79" s="138"/>
      <x:c r="Z79" s="138"/>
    </x:row>
    <x:row r="80">
      <x:c r="A80" s="138"/>
      <x:c r="B80" s="138"/>
      <x:c r="C80" s="138"/>
      <x:c r="D80" s="138"/>
      <x:c r="E80" s="138"/>
      <x:c r="F80" s="138"/>
      <x:c r="G80" s="138"/>
      <x:c r="H80" s="138"/>
      <x:c r="I80" s="138"/>
      <x:c r="J80" s="138"/>
      <x:c r="K80" s="138"/>
      <x:c r="L80" s="138"/>
      <x:c r="M80" s="138"/>
      <x:c r="N80" s="138"/>
      <x:c r="O80" s="138"/>
      <x:c r="P80" s="138"/>
      <x:c r="Q80" s="138"/>
      <x:c r="R80" s="138"/>
      <x:c r="S80" s="138"/>
      <x:c r="T80" s="138"/>
      <x:c r="U80" s="138"/>
      <x:c r="V80" s="138"/>
      <x:c r="W80" s="138"/>
      <x:c r="X80" s="138"/>
      <x:c r="Y80" s="138"/>
      <x:c r="Z80" s="138"/>
    </x:row>
    <x:row r="81">
      <x:c r="A81" s="138"/>
      <x:c r="B81" s="138"/>
      <x:c r="C81" s="138"/>
      <x:c r="D81" s="138"/>
      <x:c r="E81" s="138"/>
      <x:c r="F81" s="138"/>
      <x:c r="G81" s="138"/>
      <x:c r="H81" s="138"/>
      <x:c r="I81" s="138"/>
      <x:c r="J81" s="138"/>
      <x:c r="K81" s="138"/>
      <x:c r="L81" s="138"/>
      <x:c r="M81" s="138"/>
      <x:c r="N81" s="138"/>
      <x:c r="O81" s="138"/>
      <x:c r="P81" s="138"/>
      <x:c r="Q81" s="138"/>
      <x:c r="R81" s="138"/>
      <x:c r="S81" s="138"/>
      <x:c r="T81" s="138"/>
      <x:c r="U81" s="138"/>
      <x:c r="V81" s="138"/>
      <x:c r="W81" s="138"/>
      <x:c r="X81" s="138"/>
      <x:c r="Y81" s="138"/>
      <x:c r="Z81" s="138"/>
    </x:row>
    <x:row r="82">
      <x:c r="A82" s="138"/>
      <x:c r="B82" s="138"/>
      <x:c r="C82" s="138"/>
      <x:c r="D82" s="138"/>
      <x:c r="E82" s="138"/>
      <x:c r="F82" s="138"/>
      <x:c r="G82" s="138"/>
      <x:c r="H82" s="138"/>
      <x:c r="I82" s="138"/>
      <x:c r="J82" s="138"/>
      <x:c r="K82" s="138"/>
      <x:c r="L82" s="138"/>
      <x:c r="M82" s="138"/>
      <x:c r="N82" s="138"/>
      <x:c r="O82" s="138"/>
      <x:c r="P82" s="138"/>
      <x:c r="Q82" s="138"/>
      <x:c r="R82" s="138"/>
      <x:c r="S82" s="138"/>
      <x:c r="T82" s="138"/>
      <x:c r="U82" s="138"/>
      <x:c r="V82" s="138"/>
      <x:c r="W82" s="138"/>
      <x:c r="X82" s="138"/>
      <x:c r="Y82" s="138"/>
      <x:c r="Z82" s="138"/>
    </x:row>
    <x:row r="83">
      <x:c r="A83" s="138"/>
      <x:c r="B83" s="138"/>
      <x:c r="C83" s="138"/>
      <x:c r="D83" s="138"/>
      <x:c r="E83" s="138"/>
      <x:c r="F83" s="138"/>
      <x:c r="G83" s="138"/>
      <x:c r="H83" s="138"/>
      <x:c r="I83" s="138"/>
      <x:c r="J83" s="138"/>
      <x:c r="K83" s="138"/>
      <x:c r="L83" s="138"/>
      <x:c r="M83" s="138"/>
      <x:c r="N83" s="138"/>
      <x:c r="O83" s="138"/>
      <x:c r="P83" s="138"/>
      <x:c r="Q83" s="138"/>
      <x:c r="R83" s="138"/>
      <x:c r="S83" s="138"/>
      <x:c r="T83" s="138"/>
      <x:c r="U83" s="138"/>
      <x:c r="V83" s="138"/>
      <x:c r="W83" s="138"/>
      <x:c r="X83" s="138"/>
      <x:c r="Y83" s="138"/>
      <x:c r="Z83" s="138"/>
    </x:row>
    <x:row r="84">
      <x:c r="A84" s="138"/>
      <x:c r="B84" s="138"/>
      <x:c r="C84" s="138"/>
      <x:c r="D84" s="138"/>
      <x:c r="E84" s="138"/>
      <x:c r="F84" s="138"/>
      <x:c r="G84" s="138"/>
      <x:c r="H84" s="138"/>
      <x:c r="I84" s="138"/>
      <x:c r="J84" s="138"/>
      <x:c r="K84" s="138"/>
      <x:c r="L84" s="138"/>
      <x:c r="M84" s="138"/>
      <x:c r="N84" s="138"/>
      <x:c r="O84" s="138"/>
      <x:c r="P84" s="138"/>
      <x:c r="Q84" s="138"/>
      <x:c r="R84" s="138"/>
      <x:c r="S84" s="138"/>
      <x:c r="T84" s="138"/>
      <x:c r="U84" s="138"/>
      <x:c r="V84" s="138"/>
      <x:c r="W84" s="138"/>
      <x:c r="X84" s="138"/>
      <x:c r="Y84" s="138"/>
      <x:c r="Z84" s="138"/>
    </x:row>
    <x:row r="85">
      <x:c r="A85" s="138"/>
      <x:c r="B85" s="138"/>
      <x:c r="C85" s="138"/>
      <x:c r="D85" s="138"/>
      <x:c r="E85" s="138"/>
      <x:c r="F85" s="138"/>
      <x:c r="G85" s="138"/>
      <x:c r="H85" s="138"/>
      <x:c r="I85" s="138"/>
      <x:c r="J85" s="138"/>
      <x:c r="K85" s="138"/>
      <x:c r="L85" s="138"/>
      <x:c r="M85" s="138"/>
      <x:c r="N85" s="138"/>
      <x:c r="O85" s="138"/>
      <x:c r="P85" s="138"/>
      <x:c r="Q85" s="138"/>
      <x:c r="R85" s="138"/>
      <x:c r="S85" s="138"/>
      <x:c r="T85" s="138"/>
      <x:c r="U85" s="138"/>
      <x:c r="V85" s="138"/>
      <x:c r="W85" s="138"/>
      <x:c r="X85" s="138"/>
      <x:c r="Y85" s="138"/>
      <x:c r="Z85" s="138"/>
    </x:row>
    <x:row r="86">
      <x:c r="A86" s="138"/>
      <x:c r="B86" s="138"/>
      <x:c r="C86" s="138"/>
      <x:c r="D86" s="138"/>
      <x:c r="E86" s="138"/>
      <x:c r="F86" s="138"/>
      <x:c r="G86" s="138"/>
      <x:c r="H86" s="138"/>
      <x:c r="I86" s="138"/>
      <x:c r="J86" s="138"/>
      <x:c r="K86" s="138"/>
      <x:c r="L86" s="138"/>
      <x:c r="M86" s="138"/>
      <x:c r="N86" s="138"/>
      <x:c r="O86" s="138"/>
      <x:c r="P86" s="138"/>
      <x:c r="Q86" s="138"/>
      <x:c r="R86" s="138"/>
      <x:c r="S86" s="138"/>
      <x:c r="T86" s="138"/>
      <x:c r="U86" s="138"/>
      <x:c r="V86" s="138"/>
      <x:c r="W86" s="138"/>
      <x:c r="X86" s="138"/>
      <x:c r="Y86" s="138"/>
      <x:c r="Z86" s="138"/>
    </x:row>
    <x:row r="87">
      <x:c r="A87" s="138"/>
      <x:c r="B87" s="138"/>
      <x:c r="C87" s="138"/>
      <x:c r="D87" s="138"/>
      <x:c r="E87" s="138"/>
      <x:c r="F87" s="138"/>
      <x:c r="G87" s="138"/>
      <x:c r="H87" s="138"/>
      <x:c r="I87" s="138"/>
      <x:c r="J87" s="138"/>
      <x:c r="K87" s="138"/>
      <x:c r="L87" s="138"/>
      <x:c r="M87" s="138"/>
      <x:c r="N87" s="138"/>
      <x:c r="O87" s="138"/>
      <x:c r="P87" s="138"/>
      <x:c r="Q87" s="138"/>
      <x:c r="R87" s="138"/>
      <x:c r="S87" s="138"/>
      <x:c r="T87" s="138"/>
      <x:c r="U87" s="138"/>
      <x:c r="V87" s="138"/>
      <x:c r="W87" s="138"/>
      <x:c r="X87" s="138"/>
      <x:c r="Y87" s="138"/>
      <x:c r="Z87" s="138"/>
    </x:row>
    <x:row r="88">
      <x:c r="A88" s="138"/>
      <x:c r="B88" s="138"/>
      <x:c r="C88" s="138"/>
      <x:c r="D88" s="138"/>
      <x:c r="E88" s="138"/>
      <x:c r="F88" s="138"/>
      <x:c r="G88" s="138"/>
      <x:c r="H88" s="138"/>
      <x:c r="I88" s="138"/>
      <x:c r="J88" s="138"/>
      <x:c r="K88" s="138"/>
      <x:c r="L88" s="138"/>
      <x:c r="M88" s="138"/>
      <x:c r="N88" s="138"/>
      <x:c r="O88" s="138"/>
      <x:c r="P88" s="138"/>
      <x:c r="Q88" s="138"/>
      <x:c r="R88" s="138"/>
      <x:c r="S88" s="138"/>
      <x:c r="T88" s="138"/>
      <x:c r="U88" s="138"/>
      <x:c r="V88" s="138"/>
      <x:c r="W88" s="138"/>
      <x:c r="X88" s="138"/>
      <x:c r="Y88" s="138"/>
      <x:c r="Z88" s="138"/>
    </x:row>
    <x:row r="89">
      <x:c r="A89" s="138"/>
      <x:c r="B89" s="138"/>
      <x:c r="C89" s="138"/>
      <x:c r="D89" s="138"/>
      <x:c r="E89" s="138"/>
      <x:c r="F89" s="138"/>
      <x:c r="G89" s="138"/>
      <x:c r="H89" s="138"/>
      <x:c r="I89" s="138"/>
      <x:c r="J89" s="138"/>
      <x:c r="K89" s="138"/>
      <x:c r="L89" s="138"/>
      <x:c r="M89" s="138"/>
      <x:c r="N89" s="138"/>
      <x:c r="O89" s="138"/>
      <x:c r="P89" s="138"/>
      <x:c r="Q89" s="138"/>
      <x:c r="R89" s="138"/>
      <x:c r="S89" s="138"/>
      <x:c r="T89" s="138"/>
      <x:c r="U89" s="138"/>
      <x:c r="V89" s="138"/>
      <x:c r="W89" s="138"/>
      <x:c r="X89" s="138"/>
      <x:c r="Y89" s="138"/>
      <x:c r="Z89" s="138"/>
    </x:row>
    <x:row r="90">
      <x:c r="A90" s="138"/>
      <x:c r="B90" s="138"/>
      <x:c r="C90" s="138"/>
      <x:c r="D90" s="138"/>
      <x:c r="E90" s="138"/>
      <x:c r="F90" s="138"/>
      <x:c r="G90" s="138"/>
      <x:c r="H90" s="138"/>
      <x:c r="I90" s="138"/>
      <x:c r="J90" s="138"/>
      <x:c r="K90" s="138"/>
      <x:c r="L90" s="138"/>
      <x:c r="M90" s="138"/>
      <x:c r="N90" s="138"/>
      <x:c r="O90" s="138"/>
      <x:c r="P90" s="138"/>
      <x:c r="Q90" s="138"/>
      <x:c r="R90" s="138"/>
      <x:c r="S90" s="138"/>
      <x:c r="T90" s="138"/>
      <x:c r="U90" s="138"/>
      <x:c r="V90" s="138"/>
      <x:c r="W90" s="138"/>
      <x:c r="X90" s="138"/>
      <x:c r="Y90" s="138"/>
      <x:c r="Z90" s="138"/>
    </x:row>
    <x:row r="91">
      <x:c r="A91" s="138"/>
      <x:c r="B91" s="138"/>
      <x:c r="C91" s="138"/>
      <x:c r="D91" s="138"/>
      <x:c r="E91" s="138"/>
      <x:c r="F91" s="138"/>
      <x:c r="G91" s="138"/>
      <x:c r="H91" s="138"/>
      <x:c r="I91" s="138"/>
      <x:c r="J91" s="138"/>
      <x:c r="K91" s="138"/>
      <x:c r="L91" s="138"/>
      <x:c r="M91" s="138"/>
      <x:c r="N91" s="138"/>
      <x:c r="O91" s="138"/>
      <x:c r="P91" s="138"/>
      <x:c r="Q91" s="138"/>
      <x:c r="R91" s="138"/>
      <x:c r="S91" s="138"/>
      <x:c r="T91" s="138"/>
      <x:c r="U91" s="138"/>
      <x:c r="V91" s="138"/>
      <x:c r="W91" s="138"/>
      <x:c r="X91" s="138"/>
      <x:c r="Y91" s="138"/>
      <x:c r="Z91" s="138"/>
    </x:row>
    <x:row r="92">
      <x:c r="A92" s="138"/>
      <x:c r="B92" s="138"/>
      <x:c r="C92" s="138"/>
      <x:c r="D92" s="138"/>
      <x:c r="E92" s="138"/>
      <x:c r="F92" s="138"/>
      <x:c r="G92" s="138"/>
      <x:c r="H92" s="138"/>
      <x:c r="I92" s="138"/>
      <x:c r="J92" s="138"/>
      <x:c r="K92" s="138"/>
      <x:c r="L92" s="138"/>
      <x:c r="M92" s="138"/>
      <x:c r="N92" s="138"/>
      <x:c r="O92" s="138"/>
      <x:c r="P92" s="138"/>
      <x:c r="Q92" s="138"/>
      <x:c r="R92" s="138"/>
      <x:c r="S92" s="138"/>
      <x:c r="T92" s="138"/>
      <x:c r="U92" s="138"/>
      <x:c r="V92" s="138"/>
      <x:c r="W92" s="138"/>
      <x:c r="X92" s="138"/>
      <x:c r="Y92" s="138"/>
      <x:c r="Z92" s="138"/>
    </x:row>
    <x:row r="93">
      <x:c r="A93" s="138"/>
      <x:c r="B93" s="138"/>
      <x:c r="C93" s="138"/>
      <x:c r="D93" s="138"/>
      <x:c r="E93" s="138"/>
      <x:c r="F93" s="138"/>
      <x:c r="G93" s="138"/>
      <x:c r="H93" s="138"/>
      <x:c r="I93" s="138"/>
      <x:c r="J93" s="138"/>
      <x:c r="K93" s="138"/>
      <x:c r="L93" s="138"/>
      <x:c r="M93" s="138"/>
      <x:c r="N93" s="138"/>
      <x:c r="O93" s="138"/>
      <x:c r="P93" s="138"/>
      <x:c r="Q93" s="138"/>
      <x:c r="R93" s="138"/>
      <x:c r="S93" s="138"/>
      <x:c r="T93" s="138"/>
      <x:c r="U93" s="138"/>
      <x:c r="V93" s="138"/>
      <x:c r="W93" s="138"/>
      <x:c r="X93" s="138"/>
      <x:c r="Y93" s="138"/>
      <x:c r="Z93" s="138"/>
    </x:row>
    <x:row r="94">
      <x:c r="A94" s="138"/>
      <x:c r="B94" s="138"/>
      <x:c r="C94" s="138"/>
      <x:c r="D94" s="138"/>
      <x:c r="E94" s="138"/>
      <x:c r="F94" s="138"/>
      <x:c r="G94" s="138"/>
      <x:c r="H94" s="138"/>
      <x:c r="I94" s="138"/>
      <x:c r="J94" s="138"/>
      <x:c r="K94" s="138"/>
      <x:c r="L94" s="138"/>
      <x:c r="M94" s="138"/>
      <x:c r="N94" s="138"/>
      <x:c r="O94" s="138"/>
      <x:c r="P94" s="138"/>
      <x:c r="Q94" s="138"/>
      <x:c r="R94" s="138"/>
      <x:c r="S94" s="138"/>
      <x:c r="T94" s="138"/>
      <x:c r="U94" s="138"/>
      <x:c r="V94" s="138"/>
      <x:c r="W94" s="138"/>
      <x:c r="X94" s="138"/>
      <x:c r="Y94" s="138"/>
      <x:c r="Z94" s="138"/>
    </x:row>
    <x:row r="95">
      <x:c r="A95" s="138"/>
      <x:c r="B95" s="138"/>
      <x:c r="C95" s="138"/>
      <x:c r="D95" s="138"/>
      <x:c r="E95" s="138"/>
      <x:c r="F95" s="138"/>
      <x:c r="G95" s="138"/>
      <x:c r="H95" s="138"/>
      <x:c r="I95" s="138"/>
      <x:c r="J95" s="138"/>
      <x:c r="K95" s="138"/>
      <x:c r="L95" s="138"/>
      <x:c r="M95" s="138"/>
      <x:c r="N95" s="138"/>
      <x:c r="O95" s="138"/>
      <x:c r="P95" s="138"/>
      <x:c r="Q95" s="138"/>
      <x:c r="R95" s="138"/>
      <x:c r="S95" s="138"/>
      <x:c r="T95" s="138"/>
      <x:c r="U95" s="138"/>
      <x:c r="V95" s="138"/>
      <x:c r="W95" s="138"/>
      <x:c r="X95" s="138"/>
      <x:c r="Y95" s="138"/>
      <x:c r="Z95" s="138"/>
    </x:row>
    <x:row r="96">
      <x:c r="A96" s="138"/>
      <x:c r="B96" s="138"/>
      <x:c r="C96" s="138"/>
      <x:c r="D96" s="138"/>
      <x:c r="E96" s="138"/>
      <x:c r="F96" s="138"/>
      <x:c r="G96" s="138"/>
      <x:c r="H96" s="138"/>
      <x:c r="I96" s="138"/>
      <x:c r="J96" s="138"/>
      <x:c r="K96" s="138"/>
      <x:c r="L96" s="138"/>
      <x:c r="M96" s="138"/>
      <x:c r="N96" s="138"/>
      <x:c r="O96" s="138"/>
      <x:c r="P96" s="138"/>
      <x:c r="Q96" s="138"/>
      <x:c r="R96" s="138"/>
      <x:c r="S96" s="138"/>
      <x:c r="T96" s="138"/>
      <x:c r="U96" s="138"/>
      <x:c r="V96" s="138"/>
      <x:c r="W96" s="138"/>
      <x:c r="X96" s="138"/>
      <x:c r="Y96" s="138"/>
      <x:c r="Z96" s="138"/>
    </x:row>
    <x:row r="97">
      <x:c r="A97" s="138"/>
      <x:c r="B97" s="138"/>
      <x:c r="C97" s="138"/>
      <x:c r="D97" s="138"/>
      <x:c r="E97" s="138"/>
      <x:c r="F97" s="138"/>
      <x:c r="G97" s="138"/>
      <x:c r="H97" s="138"/>
      <x:c r="I97" s="138"/>
      <x:c r="J97" s="138"/>
      <x:c r="K97" s="138"/>
      <x:c r="L97" s="138"/>
      <x:c r="M97" s="138"/>
      <x:c r="N97" s="138"/>
      <x:c r="O97" s="138"/>
      <x:c r="P97" s="138"/>
      <x:c r="Q97" s="138"/>
      <x:c r="R97" s="138"/>
      <x:c r="S97" s="138"/>
      <x:c r="T97" s="138"/>
      <x:c r="U97" s="138"/>
      <x:c r="V97" s="138"/>
      <x:c r="W97" s="138"/>
      <x:c r="X97" s="138"/>
      <x:c r="Y97" s="138"/>
      <x:c r="Z97" s="138"/>
    </x:row>
    <x:row r="98">
      <x:c r="A98" s="138"/>
      <x:c r="B98" s="138"/>
      <x:c r="C98" s="138"/>
      <x:c r="D98" s="138"/>
      <x:c r="E98" s="138"/>
      <x:c r="F98" s="138"/>
      <x:c r="G98" s="138"/>
      <x:c r="H98" s="138"/>
      <x:c r="I98" s="138"/>
      <x:c r="J98" s="138"/>
      <x:c r="K98" s="138"/>
      <x:c r="L98" s="138"/>
      <x:c r="M98" s="138"/>
      <x:c r="N98" s="138"/>
      <x:c r="O98" s="138"/>
      <x:c r="P98" s="138"/>
      <x:c r="Q98" s="138"/>
      <x:c r="R98" s="138"/>
      <x:c r="S98" s="138"/>
      <x:c r="T98" s="138"/>
      <x:c r="U98" s="138"/>
      <x:c r="V98" s="138"/>
      <x:c r="W98" s="138"/>
      <x:c r="X98" s="138"/>
      <x:c r="Y98" s="138"/>
      <x:c r="Z98" s="138"/>
    </x:row>
    <x:row r="99">
      <x:c r="A99" s="138"/>
      <x:c r="B99" s="138"/>
      <x:c r="C99" s="138"/>
      <x:c r="D99" s="138"/>
      <x:c r="E99" s="138"/>
      <x:c r="F99" s="138"/>
      <x:c r="G99" s="138"/>
      <x:c r="H99" s="138"/>
      <x:c r="I99" s="138"/>
      <x:c r="J99" s="138"/>
      <x:c r="K99" s="138"/>
      <x:c r="L99" s="138"/>
      <x:c r="M99" s="138"/>
      <x:c r="N99" s="138"/>
      <x:c r="O99" s="138"/>
      <x:c r="P99" s="138"/>
      <x:c r="Q99" s="138"/>
      <x:c r="R99" s="138"/>
      <x:c r="S99" s="138"/>
      <x:c r="T99" s="138"/>
      <x:c r="U99" s="138"/>
      <x:c r="V99" s="138"/>
      <x:c r="W99" s="138"/>
      <x:c r="X99" s="138"/>
      <x:c r="Y99" s="138"/>
      <x:c r="Z99" s="138"/>
    </x:row>
    <x:row r="100">
      <x:c r="A100" s="138"/>
      <x:c r="B100" s="138"/>
      <x:c r="C100" s="138"/>
      <x:c r="D100" s="138"/>
      <x:c r="E100" s="138"/>
      <x:c r="F100" s="138"/>
      <x:c r="G100" s="138"/>
      <x:c r="H100" s="138"/>
      <x:c r="I100" s="138"/>
      <x:c r="J100" s="138"/>
      <x:c r="K100" s="138"/>
      <x:c r="L100" s="138"/>
      <x:c r="M100" s="138"/>
      <x:c r="N100" s="138"/>
      <x:c r="O100" s="138"/>
      <x:c r="P100" s="138"/>
      <x:c r="Q100" s="138"/>
      <x:c r="R100" s="138"/>
      <x:c r="S100" s="138"/>
      <x:c r="T100" s="138"/>
      <x:c r="U100" s="138"/>
      <x:c r="V100" s="138"/>
      <x:c r="W100" s="138"/>
      <x:c r="X100" s="138"/>
      <x:c r="Y100" s="138"/>
      <x:c r="Z100" s="138"/>
    </x:row>
    <x:row r="101">
      <x:c r="A101" s="138"/>
      <x:c r="B101" s="138"/>
      <x:c r="C101" s="138"/>
      <x:c r="D101" s="138"/>
      <x:c r="E101" s="138"/>
      <x:c r="F101" s="138"/>
      <x:c r="G101" s="138"/>
      <x:c r="H101" s="138"/>
      <x:c r="I101" s="138"/>
      <x:c r="J101" s="138"/>
      <x:c r="K101" s="138"/>
      <x:c r="L101" s="138"/>
      <x:c r="M101" s="138"/>
      <x:c r="N101" s="138"/>
      <x:c r="O101" s="138"/>
      <x:c r="P101" s="138"/>
      <x:c r="Q101" s="138"/>
      <x:c r="R101" s="138"/>
      <x:c r="S101" s="138"/>
      <x:c r="T101" s="138"/>
      <x:c r="U101" s="138"/>
      <x:c r="V101" s="138"/>
      <x:c r="W101" s="138"/>
      <x:c r="X101" s="138"/>
      <x:c r="Y101" s="138"/>
      <x:c r="Z101" s="138"/>
    </x:row>
    <x:row r="102">
      <x:c r="A102" s="138"/>
      <x:c r="B102" s="138"/>
      <x:c r="C102" s="138"/>
      <x:c r="D102" s="138"/>
      <x:c r="E102" s="138"/>
      <x:c r="F102" s="138"/>
      <x:c r="G102" s="138"/>
      <x:c r="H102" s="138"/>
      <x:c r="I102" s="138"/>
      <x:c r="J102" s="138"/>
      <x:c r="K102" s="138"/>
      <x:c r="L102" s="138"/>
      <x:c r="M102" s="138"/>
      <x:c r="N102" s="138"/>
      <x:c r="O102" s="138"/>
      <x:c r="P102" s="138"/>
      <x:c r="Q102" s="138"/>
      <x:c r="R102" s="138"/>
      <x:c r="S102" s="138"/>
      <x:c r="T102" s="138"/>
      <x:c r="U102" s="138"/>
      <x:c r="V102" s="138"/>
      <x:c r="W102" s="138"/>
      <x:c r="X102" s="138"/>
      <x:c r="Y102" s="138"/>
      <x:c r="Z102" s="138"/>
    </x:row>
    <x:row r="103">
      <x:c r="A103" s="138"/>
      <x:c r="B103" s="138"/>
      <x:c r="C103" s="138"/>
      <x:c r="D103" s="138"/>
      <x:c r="E103" s="138"/>
      <x:c r="F103" s="138"/>
      <x:c r="G103" s="138"/>
      <x:c r="H103" s="138"/>
      <x:c r="I103" s="138"/>
      <x:c r="J103" s="138"/>
      <x:c r="K103" s="138"/>
      <x:c r="L103" s="138"/>
      <x:c r="M103" s="138"/>
      <x:c r="N103" s="138"/>
      <x:c r="O103" s="138"/>
      <x:c r="P103" s="138"/>
      <x:c r="Q103" s="138"/>
      <x:c r="R103" s="138"/>
      <x:c r="S103" s="138"/>
      <x:c r="T103" s="138"/>
      <x:c r="U103" s="138"/>
      <x:c r="V103" s="138"/>
      <x:c r="W103" s="138"/>
      <x:c r="X103" s="138"/>
      <x:c r="Y103" s="138"/>
      <x:c r="Z103" s="138"/>
    </x:row>
    <x:row r="104">
      <x:c r="A104" s="138"/>
      <x:c r="B104" s="138"/>
      <x:c r="C104" s="138"/>
      <x:c r="D104" s="138"/>
      <x:c r="E104" s="138"/>
      <x:c r="F104" s="138"/>
      <x:c r="G104" s="138"/>
      <x:c r="H104" s="138"/>
      <x:c r="I104" s="138"/>
      <x:c r="J104" s="138"/>
      <x:c r="K104" s="138"/>
      <x:c r="L104" s="138"/>
      <x:c r="M104" s="138"/>
      <x:c r="N104" s="138"/>
      <x:c r="O104" s="138"/>
      <x:c r="P104" s="138"/>
      <x:c r="Q104" s="138"/>
      <x:c r="R104" s="138"/>
      <x:c r="S104" s="138"/>
      <x:c r="T104" s="138"/>
      <x:c r="U104" s="138"/>
      <x:c r="V104" s="138"/>
      <x:c r="W104" s="138"/>
      <x:c r="X104" s="138"/>
      <x:c r="Y104" s="138"/>
      <x:c r="Z104" s="138"/>
    </x:row>
    <x:row r="105">
      <x:c r="A105" s="138"/>
      <x:c r="B105" s="138"/>
      <x:c r="C105" s="138"/>
      <x:c r="D105" s="138"/>
      <x:c r="E105" s="138"/>
      <x:c r="F105" s="138"/>
      <x:c r="G105" s="138"/>
      <x:c r="H105" s="138"/>
      <x:c r="I105" s="138"/>
      <x:c r="J105" s="138"/>
      <x:c r="K105" s="138"/>
      <x:c r="L105" s="138"/>
      <x:c r="M105" s="138"/>
      <x:c r="N105" s="138"/>
      <x:c r="O105" s="138"/>
      <x:c r="P105" s="138"/>
      <x:c r="Q105" s="138"/>
      <x:c r="R105" s="138"/>
      <x:c r="S105" s="138"/>
      <x:c r="T105" s="138"/>
      <x:c r="U105" s="138"/>
      <x:c r="V105" s="138"/>
      <x:c r="W105" s="138"/>
      <x:c r="X105" s="138"/>
      <x:c r="Y105" s="138"/>
      <x:c r="Z105" s="138"/>
    </x:row>
    <x:row r="106">
      <x:c r="A106" s="138"/>
      <x:c r="B106" s="138"/>
      <x:c r="C106" s="138"/>
      <x:c r="D106" s="138"/>
      <x:c r="E106" s="138"/>
      <x:c r="F106" s="138"/>
      <x:c r="G106" s="138"/>
      <x:c r="H106" s="138"/>
      <x:c r="I106" s="138"/>
      <x:c r="J106" s="138"/>
      <x:c r="K106" s="138"/>
      <x:c r="L106" s="138"/>
      <x:c r="M106" s="138"/>
      <x:c r="N106" s="138"/>
      <x:c r="O106" s="138"/>
      <x:c r="P106" s="138"/>
      <x:c r="Q106" s="138"/>
      <x:c r="R106" s="138"/>
      <x:c r="S106" s="138"/>
      <x:c r="T106" s="138"/>
      <x:c r="U106" s="138"/>
      <x:c r="V106" s="138"/>
      <x:c r="W106" s="138"/>
      <x:c r="X106" s="138"/>
      <x:c r="Y106" s="138"/>
      <x:c r="Z106" s="138"/>
    </x:row>
    <x:row r="107">
      <x:c r="A107" s="138"/>
      <x:c r="B107" s="138"/>
      <x:c r="C107" s="138"/>
      <x:c r="D107" s="138"/>
      <x:c r="E107" s="138"/>
      <x:c r="F107" s="138"/>
      <x:c r="G107" s="138"/>
      <x:c r="H107" s="138"/>
      <x:c r="I107" s="138"/>
      <x:c r="J107" s="138"/>
      <x:c r="K107" s="138"/>
      <x:c r="L107" s="138"/>
      <x:c r="M107" s="138"/>
      <x:c r="N107" s="138"/>
      <x:c r="O107" s="138"/>
      <x:c r="P107" s="138"/>
      <x:c r="Q107" s="138"/>
      <x:c r="R107" s="138"/>
      <x:c r="S107" s="138"/>
      <x:c r="T107" s="138"/>
      <x:c r="U107" s="138"/>
      <x:c r="V107" s="138"/>
      <x:c r="W107" s="138"/>
      <x:c r="X107" s="138"/>
      <x:c r="Y107" s="138"/>
      <x:c r="Z107" s="138"/>
    </x:row>
    <x:row r="108">
      <x:c r="A108" s="138"/>
      <x:c r="B108" s="138"/>
      <x:c r="C108" s="138"/>
      <x:c r="D108" s="138"/>
      <x:c r="E108" s="138"/>
      <x:c r="F108" s="138"/>
      <x:c r="G108" s="138"/>
      <x:c r="H108" s="138"/>
      <x:c r="I108" s="138"/>
      <x:c r="J108" s="138"/>
      <x:c r="K108" s="138"/>
      <x:c r="L108" s="138"/>
      <x:c r="M108" s="138"/>
      <x:c r="N108" s="138"/>
      <x:c r="O108" s="138"/>
      <x:c r="P108" s="138"/>
      <x:c r="Q108" s="138"/>
      <x:c r="R108" s="138"/>
      <x:c r="S108" s="138"/>
      <x:c r="T108" s="138"/>
      <x:c r="U108" s="138"/>
      <x:c r="V108" s="138"/>
      <x:c r="W108" s="138"/>
      <x:c r="X108" s="138"/>
      <x:c r="Y108" s="138"/>
      <x:c r="Z108" s="138"/>
    </x:row>
    <x:row r="109">
      <x:c r="A109" s="138"/>
      <x:c r="B109" s="138"/>
      <x:c r="C109" s="138"/>
      <x:c r="D109" s="138"/>
      <x:c r="E109" s="138"/>
      <x:c r="F109" s="138"/>
      <x:c r="G109" s="138"/>
      <x:c r="H109" s="138"/>
      <x:c r="I109" s="138"/>
      <x:c r="J109" s="138"/>
      <x:c r="K109" s="138"/>
      <x:c r="L109" s="138"/>
      <x:c r="M109" s="138"/>
      <x:c r="N109" s="138"/>
      <x:c r="O109" s="138"/>
      <x:c r="P109" s="138"/>
      <x:c r="Q109" s="138"/>
      <x:c r="R109" s="138"/>
      <x:c r="S109" s="138"/>
      <x:c r="T109" s="138"/>
      <x:c r="U109" s="138"/>
      <x:c r="V109" s="138"/>
      <x:c r="W109" s="138"/>
      <x:c r="X109" s="138"/>
      <x:c r="Y109" s="138"/>
      <x:c r="Z109" s="138"/>
    </x:row>
    <x:row r="110">
      <x:c r="A110" s="138"/>
      <x:c r="B110" s="138"/>
      <x:c r="C110" s="138"/>
      <x:c r="D110" s="138"/>
      <x:c r="E110" s="138"/>
      <x:c r="F110" s="138"/>
      <x:c r="G110" s="138"/>
      <x:c r="H110" s="138"/>
      <x:c r="I110" s="138"/>
      <x:c r="J110" s="138"/>
      <x:c r="K110" s="138"/>
      <x:c r="L110" s="138"/>
      <x:c r="M110" s="138"/>
      <x:c r="N110" s="138"/>
      <x:c r="O110" s="138"/>
      <x:c r="P110" s="138"/>
      <x:c r="Q110" s="138"/>
      <x:c r="R110" s="138"/>
      <x:c r="S110" s="138"/>
      <x:c r="T110" s="138"/>
      <x:c r="U110" s="138"/>
      <x:c r="V110" s="138"/>
      <x:c r="W110" s="138"/>
      <x:c r="X110" s="138"/>
      <x:c r="Y110" s="138"/>
      <x:c r="Z110" s="138"/>
    </x:row>
    <x:row r="111">
      <x:c r="A111" s="138"/>
      <x:c r="B111" s="138"/>
      <x:c r="C111" s="138"/>
      <x:c r="D111" s="138"/>
      <x:c r="E111" s="138"/>
      <x:c r="F111" s="138"/>
      <x:c r="G111" s="138"/>
      <x:c r="H111" s="138"/>
      <x:c r="I111" s="138"/>
      <x:c r="J111" s="138"/>
      <x:c r="K111" s="138"/>
      <x:c r="L111" s="138"/>
      <x:c r="M111" s="138"/>
      <x:c r="N111" s="138"/>
      <x:c r="O111" s="138"/>
      <x:c r="P111" s="138"/>
      <x:c r="Q111" s="138"/>
      <x:c r="R111" s="138"/>
      <x:c r="S111" s="138"/>
      <x:c r="T111" s="138"/>
      <x:c r="U111" s="138"/>
      <x:c r="V111" s="138"/>
      <x:c r="W111" s="138"/>
      <x:c r="X111" s="138"/>
      <x:c r="Y111" s="138"/>
      <x:c r="Z111" s="138"/>
    </x:row>
    <x:row r="112">
      <x:c r="A112" s="138"/>
      <x:c r="B112" s="138"/>
      <x:c r="C112" s="138"/>
      <x:c r="D112" s="138"/>
      <x:c r="E112" s="138"/>
      <x:c r="F112" s="138"/>
      <x:c r="G112" s="138"/>
      <x:c r="H112" s="138"/>
      <x:c r="I112" s="138"/>
      <x:c r="J112" s="138"/>
      <x:c r="K112" s="138"/>
      <x:c r="L112" s="138"/>
      <x:c r="M112" s="138"/>
      <x:c r="N112" s="138"/>
      <x:c r="O112" s="138"/>
      <x:c r="P112" s="138"/>
      <x:c r="Q112" s="138"/>
      <x:c r="R112" s="138"/>
      <x:c r="S112" s="138"/>
      <x:c r="T112" s="138"/>
      <x:c r="U112" s="138"/>
      <x:c r="V112" s="138"/>
      <x:c r="W112" s="138"/>
      <x:c r="X112" s="138"/>
      <x:c r="Y112" s="138"/>
      <x:c r="Z112" s="138"/>
    </x:row>
    <x:row r="113">
      <x:c r="A113" s="138"/>
      <x:c r="B113" s="138"/>
      <x:c r="C113" s="138"/>
      <x:c r="D113" s="138"/>
      <x:c r="E113" s="138"/>
      <x:c r="F113" s="138"/>
      <x:c r="G113" s="138"/>
      <x:c r="H113" s="138"/>
      <x:c r="I113" s="138"/>
      <x:c r="J113" s="138"/>
      <x:c r="K113" s="138"/>
      <x:c r="L113" s="138"/>
      <x:c r="M113" s="138"/>
      <x:c r="N113" s="138"/>
      <x:c r="O113" s="138"/>
      <x:c r="P113" s="138"/>
      <x:c r="Q113" s="138"/>
      <x:c r="R113" s="138"/>
      <x:c r="S113" s="138"/>
      <x:c r="T113" s="138"/>
      <x:c r="U113" s="138"/>
      <x:c r="V113" s="138"/>
      <x:c r="W113" s="138"/>
      <x:c r="X113" s="138"/>
      <x:c r="Y113" s="138"/>
      <x:c r="Z113" s="138"/>
    </x:row>
    <x:row r="114">
      <x:c r="A114" s="138"/>
      <x:c r="B114" s="138"/>
      <x:c r="C114" s="138"/>
      <x:c r="D114" s="138"/>
      <x:c r="E114" s="138"/>
      <x:c r="F114" s="138"/>
      <x:c r="G114" s="138"/>
      <x:c r="H114" s="138"/>
      <x:c r="I114" s="138"/>
      <x:c r="J114" s="138"/>
      <x:c r="K114" s="138"/>
      <x:c r="L114" s="138"/>
      <x:c r="M114" s="138"/>
      <x:c r="N114" s="138"/>
      <x:c r="O114" s="138"/>
      <x:c r="P114" s="138"/>
      <x:c r="Q114" s="138"/>
      <x:c r="R114" s="138"/>
      <x:c r="S114" s="138"/>
      <x:c r="T114" s="138"/>
      <x:c r="U114" s="138"/>
      <x:c r="V114" s="138"/>
      <x:c r="W114" s="138"/>
      <x:c r="X114" s="138"/>
      <x:c r="Y114" s="138"/>
      <x:c r="Z114" s="138"/>
    </x:row>
    <x:row r="115">
      <x:c r="A115" s="138"/>
      <x:c r="B115" s="138"/>
      <x:c r="C115" s="138"/>
      <x:c r="D115" s="138"/>
      <x:c r="E115" s="138"/>
      <x:c r="F115" s="138"/>
      <x:c r="G115" s="138"/>
      <x:c r="H115" s="138"/>
      <x:c r="I115" s="138"/>
      <x:c r="J115" s="138"/>
      <x:c r="K115" s="138"/>
      <x:c r="L115" s="138"/>
      <x:c r="M115" s="138"/>
      <x:c r="N115" s="138"/>
      <x:c r="O115" s="138"/>
      <x:c r="P115" s="138"/>
      <x:c r="Q115" s="138"/>
      <x:c r="R115" s="138"/>
      <x:c r="S115" s="138"/>
      <x:c r="T115" s="138"/>
      <x:c r="U115" s="138"/>
      <x:c r="V115" s="138"/>
      <x:c r="W115" s="138"/>
      <x:c r="X115" s="138"/>
      <x:c r="Y115" s="138"/>
      <x:c r="Z115" s="138"/>
    </x:row>
    <x:row r="116">
      <x:c r="A116" s="138"/>
      <x:c r="B116" s="138"/>
      <x:c r="C116" s="138"/>
      <x:c r="D116" s="138"/>
      <x:c r="E116" s="138"/>
      <x:c r="F116" s="138"/>
      <x:c r="G116" s="138"/>
      <x:c r="H116" s="138"/>
      <x:c r="I116" s="138"/>
      <x:c r="J116" s="138"/>
      <x:c r="K116" s="138"/>
      <x:c r="L116" s="138"/>
      <x:c r="M116" s="138"/>
      <x:c r="N116" s="138"/>
      <x:c r="O116" s="138"/>
      <x:c r="P116" s="138"/>
      <x:c r="Q116" s="138"/>
      <x:c r="R116" s="138"/>
      <x:c r="S116" s="138"/>
      <x:c r="T116" s="138"/>
      <x:c r="U116" s="138"/>
      <x:c r="V116" s="138"/>
      <x:c r="W116" s="138"/>
      <x:c r="X116" s="138"/>
      <x:c r="Y116" s="138"/>
      <x:c r="Z116" s="138"/>
    </x:row>
    <x:row r="117">
      <x:c r="A117" s="138"/>
      <x:c r="B117" s="138"/>
      <x:c r="C117" s="138"/>
      <x:c r="D117" s="138"/>
      <x:c r="E117" s="138"/>
      <x:c r="F117" s="138"/>
      <x:c r="G117" s="138"/>
      <x:c r="H117" s="138"/>
      <x:c r="I117" s="138"/>
      <x:c r="J117" s="138"/>
      <x:c r="K117" s="138"/>
      <x:c r="L117" s="138"/>
      <x:c r="M117" s="138"/>
      <x:c r="N117" s="138"/>
      <x:c r="O117" s="138"/>
      <x:c r="P117" s="138"/>
      <x:c r="Q117" s="138"/>
      <x:c r="R117" s="138"/>
      <x:c r="S117" s="138"/>
      <x:c r="T117" s="138"/>
      <x:c r="U117" s="138"/>
      <x:c r="V117" s="138"/>
      <x:c r="W117" s="138"/>
      <x:c r="X117" s="138"/>
      <x:c r="Y117" s="138"/>
      <x:c r="Z117" s="138"/>
    </x:row>
    <x:row r="118">
      <x:c r="A118" s="138"/>
      <x:c r="B118" s="138"/>
      <x:c r="C118" s="138"/>
      <x:c r="D118" s="138"/>
      <x:c r="E118" s="138"/>
      <x:c r="F118" s="138"/>
      <x:c r="G118" s="138"/>
      <x:c r="H118" s="138"/>
      <x:c r="I118" s="138"/>
      <x:c r="J118" s="138"/>
      <x:c r="K118" s="138"/>
      <x:c r="L118" s="138"/>
      <x:c r="M118" s="138"/>
      <x:c r="N118" s="138"/>
      <x:c r="O118" s="138"/>
      <x:c r="P118" s="138"/>
      <x:c r="Q118" s="138"/>
      <x:c r="R118" s="138"/>
      <x:c r="S118" s="138"/>
      <x:c r="T118" s="138"/>
      <x:c r="U118" s="138"/>
      <x:c r="V118" s="138"/>
      <x:c r="W118" s="138"/>
      <x:c r="X118" s="138"/>
      <x:c r="Y118" s="138"/>
      <x:c r="Z118" s="138"/>
    </x:row>
    <x:row r="119">
      <x:c r="A119" s="138"/>
      <x:c r="B119" s="138"/>
      <x:c r="C119" s="138"/>
      <x:c r="D119" s="138"/>
      <x:c r="E119" s="138"/>
      <x:c r="F119" s="138"/>
      <x:c r="G119" s="138"/>
      <x:c r="H119" s="138"/>
      <x:c r="I119" s="138"/>
      <x:c r="J119" s="138"/>
      <x:c r="K119" s="138"/>
      <x:c r="L119" s="138"/>
      <x:c r="M119" s="138"/>
      <x:c r="N119" s="138"/>
      <x:c r="O119" s="138"/>
      <x:c r="P119" s="138"/>
      <x:c r="Q119" s="138"/>
      <x:c r="R119" s="138"/>
      <x:c r="S119" s="138"/>
      <x:c r="T119" s="138"/>
      <x:c r="U119" s="138"/>
      <x:c r="V119" s="138"/>
      <x:c r="W119" s="138"/>
      <x:c r="X119" s="138"/>
      <x:c r="Y119" s="138"/>
      <x:c r="Z119" s="138"/>
    </x:row>
    <x:row r="120">
      <x:c r="A120" s="138"/>
      <x:c r="B120" s="138"/>
      <x:c r="C120" s="138"/>
      <x:c r="D120" s="138"/>
      <x:c r="E120" s="138"/>
      <x:c r="F120" s="138"/>
      <x:c r="G120" s="138"/>
      <x:c r="H120" s="138"/>
      <x:c r="I120" s="138"/>
      <x:c r="J120" s="138"/>
      <x:c r="K120" s="138"/>
      <x:c r="L120" s="138"/>
      <x:c r="M120" s="138"/>
      <x:c r="N120" s="138"/>
      <x:c r="O120" s="138"/>
      <x:c r="P120" s="138"/>
      <x:c r="Q120" s="138"/>
      <x:c r="R120" s="138"/>
      <x:c r="S120" s="138"/>
      <x:c r="T120" s="138"/>
      <x:c r="U120" s="138"/>
      <x:c r="V120" s="138"/>
      <x:c r="W120" s="138"/>
      <x:c r="X120" s="138"/>
      <x:c r="Y120" s="138"/>
      <x:c r="Z120" s="138"/>
    </x:row>
    <x:row r="121">
      <x:c r="A121" s="138"/>
      <x:c r="B121" s="138"/>
      <x:c r="C121" s="138"/>
      <x:c r="D121" s="138"/>
      <x:c r="E121" s="138"/>
      <x:c r="F121" s="138"/>
      <x:c r="G121" s="138"/>
      <x:c r="H121" s="138"/>
      <x:c r="I121" s="138"/>
      <x:c r="J121" s="138"/>
      <x:c r="K121" s="138"/>
      <x:c r="L121" s="138"/>
      <x:c r="M121" s="138"/>
      <x:c r="N121" s="138"/>
      <x:c r="O121" s="138"/>
      <x:c r="P121" s="138"/>
      <x:c r="Q121" s="138"/>
      <x:c r="R121" s="138"/>
      <x:c r="S121" s="138"/>
      <x:c r="T121" s="138"/>
      <x:c r="U121" s="138"/>
      <x:c r="V121" s="138"/>
      <x:c r="W121" s="138"/>
      <x:c r="X121" s="138"/>
      <x:c r="Y121" s="138"/>
      <x:c r="Z121" s="138"/>
    </x:row>
    <x:row r="122">
      <x:c r="A122" s="138"/>
      <x:c r="B122" s="138"/>
      <x:c r="C122" s="138"/>
      <x:c r="D122" s="138"/>
      <x:c r="E122" s="138"/>
      <x:c r="F122" s="138"/>
      <x:c r="G122" s="138"/>
      <x:c r="H122" s="138"/>
      <x:c r="I122" s="138"/>
      <x:c r="J122" s="138"/>
      <x:c r="K122" s="138"/>
      <x:c r="L122" s="138"/>
      <x:c r="M122" s="138"/>
      <x:c r="N122" s="138"/>
      <x:c r="O122" s="138"/>
      <x:c r="P122" s="138"/>
      <x:c r="Q122" s="138"/>
      <x:c r="R122" s="138"/>
      <x:c r="S122" s="138"/>
      <x:c r="T122" s="138"/>
      <x:c r="U122" s="138"/>
      <x:c r="V122" s="138"/>
      <x:c r="W122" s="138"/>
      <x:c r="X122" s="138"/>
      <x:c r="Y122" s="138"/>
      <x:c r="Z122" s="138"/>
    </x:row>
    <x:row r="123">
      <x:c r="A123" s="138"/>
      <x:c r="B123" s="138"/>
      <x:c r="C123" s="138"/>
      <x:c r="D123" s="138"/>
      <x:c r="E123" s="138"/>
      <x:c r="F123" s="138"/>
      <x:c r="G123" s="138"/>
      <x:c r="H123" s="138"/>
      <x:c r="I123" s="138"/>
      <x:c r="J123" s="138"/>
      <x:c r="K123" s="138"/>
      <x:c r="L123" s="138"/>
      <x:c r="M123" s="138"/>
      <x:c r="N123" s="138"/>
      <x:c r="O123" s="138"/>
      <x:c r="P123" s="138"/>
      <x:c r="Q123" s="138"/>
      <x:c r="R123" s="138"/>
      <x:c r="S123" s="138"/>
      <x:c r="T123" s="138"/>
      <x:c r="U123" s="138"/>
      <x:c r="V123" s="138"/>
      <x:c r="W123" s="138"/>
      <x:c r="X123" s="138"/>
      <x:c r="Y123" s="138"/>
      <x:c r="Z123" s="138"/>
    </x:row>
    <x:row r="124">
      <x:c r="A124" s="138"/>
      <x:c r="B124" s="138"/>
      <x:c r="C124" s="138"/>
      <x:c r="D124" s="138"/>
      <x:c r="E124" s="138"/>
      <x:c r="F124" s="138"/>
      <x:c r="G124" s="138"/>
      <x:c r="H124" s="138"/>
      <x:c r="I124" s="138"/>
      <x:c r="J124" s="138"/>
      <x:c r="K124" s="138"/>
      <x:c r="L124" s="138"/>
      <x:c r="M124" s="138"/>
      <x:c r="N124" s="138"/>
      <x:c r="O124" s="138"/>
      <x:c r="P124" s="138"/>
      <x:c r="Q124" s="138"/>
      <x:c r="R124" s="138"/>
      <x:c r="S124" s="138"/>
      <x:c r="T124" s="138"/>
      <x:c r="U124" s="138"/>
      <x:c r="V124" s="138"/>
      <x:c r="W124" s="138"/>
      <x:c r="X124" s="138"/>
      <x:c r="Y124" s="138"/>
      <x:c r="Z124" s="138"/>
    </x:row>
    <x:row r="125">
      <x:c r="A125" s="138"/>
      <x:c r="B125" s="138"/>
      <x:c r="C125" s="138"/>
      <x:c r="D125" s="138"/>
      <x:c r="E125" s="138"/>
      <x:c r="F125" s="138"/>
      <x:c r="G125" s="138"/>
      <x:c r="H125" s="138"/>
      <x:c r="I125" s="138"/>
      <x:c r="J125" s="138"/>
      <x:c r="K125" s="138"/>
      <x:c r="L125" s="138"/>
      <x:c r="M125" s="138"/>
      <x:c r="N125" s="138"/>
      <x:c r="O125" s="138"/>
      <x:c r="P125" s="138"/>
      <x:c r="Q125" s="138"/>
      <x:c r="R125" s="138"/>
      <x:c r="S125" s="138"/>
      <x:c r="T125" s="138"/>
      <x:c r="U125" s="138"/>
      <x:c r="V125" s="138"/>
      <x:c r="W125" s="138"/>
      <x:c r="X125" s="138"/>
      <x:c r="Y125" s="138"/>
      <x:c r="Z125" s="138"/>
    </x:row>
    <x:row r="126">
      <x:c r="A126" s="138"/>
      <x:c r="B126" s="138"/>
      <x:c r="C126" s="138"/>
      <x:c r="D126" s="138"/>
      <x:c r="E126" s="138"/>
      <x:c r="F126" s="138"/>
      <x:c r="G126" s="138"/>
      <x:c r="H126" s="138"/>
      <x:c r="I126" s="138"/>
      <x:c r="J126" s="138"/>
      <x:c r="K126" s="138"/>
      <x:c r="L126" s="138"/>
      <x:c r="M126" s="138"/>
      <x:c r="N126" s="138"/>
      <x:c r="O126" s="138"/>
      <x:c r="P126" s="138"/>
      <x:c r="Q126" s="138"/>
      <x:c r="R126" s="138"/>
      <x:c r="S126" s="138"/>
      <x:c r="T126" s="138"/>
      <x:c r="U126" s="138"/>
      <x:c r="V126" s="138"/>
      <x:c r="W126" s="138"/>
      <x:c r="X126" s="138"/>
      <x:c r="Y126" s="138"/>
      <x:c r="Z126" s="138"/>
    </x:row>
    <x:row r="127">
      <x:c r="A127" s="138"/>
      <x:c r="B127" s="138"/>
      <x:c r="C127" s="138"/>
      <x:c r="D127" s="138"/>
      <x:c r="E127" s="138"/>
      <x:c r="F127" s="138"/>
      <x:c r="G127" s="138"/>
      <x:c r="H127" s="138"/>
      <x:c r="I127" s="138"/>
      <x:c r="J127" s="138"/>
      <x:c r="K127" s="138"/>
      <x:c r="L127" s="138"/>
      <x:c r="M127" s="138"/>
      <x:c r="N127" s="138"/>
      <x:c r="O127" s="138"/>
      <x:c r="P127" s="138"/>
      <x:c r="Q127" s="138"/>
      <x:c r="R127" s="138"/>
      <x:c r="S127" s="138"/>
      <x:c r="T127" s="138"/>
      <x:c r="U127" s="138"/>
      <x:c r="V127" s="138"/>
      <x:c r="W127" s="138"/>
      <x:c r="X127" s="138"/>
      <x:c r="Y127" s="138"/>
      <x:c r="Z127" s="138"/>
    </x:row>
    <x:row r="128">
      <x:c r="A128" s="138"/>
      <x:c r="B128" s="138"/>
      <x:c r="C128" s="138"/>
      <x:c r="D128" s="138"/>
      <x:c r="E128" s="138"/>
      <x:c r="F128" s="138"/>
      <x:c r="G128" s="138"/>
      <x:c r="H128" s="138"/>
      <x:c r="I128" s="138"/>
      <x:c r="J128" s="138"/>
      <x:c r="K128" s="138"/>
      <x:c r="L128" s="138"/>
      <x:c r="M128" s="138"/>
      <x:c r="N128" s="138"/>
      <x:c r="O128" s="138"/>
      <x:c r="P128" s="138"/>
      <x:c r="Q128" s="138"/>
      <x:c r="R128" s="138"/>
      <x:c r="S128" s="138"/>
      <x:c r="T128" s="138"/>
      <x:c r="U128" s="138"/>
      <x:c r="V128" s="138"/>
      <x:c r="W128" s="138"/>
      <x:c r="X128" s="138"/>
      <x:c r="Y128" s="138"/>
      <x:c r="Z128" s="138"/>
    </x:row>
    <x:row r="129">
      <x:c r="A129" s="138"/>
      <x:c r="B129" s="138"/>
      <x:c r="C129" s="138"/>
      <x:c r="D129" s="138"/>
      <x:c r="E129" s="138"/>
      <x:c r="F129" s="138"/>
      <x:c r="G129" s="138"/>
      <x:c r="H129" s="138"/>
      <x:c r="I129" s="138"/>
      <x:c r="J129" s="138"/>
      <x:c r="K129" s="138"/>
      <x:c r="L129" s="138"/>
      <x:c r="M129" s="138"/>
      <x:c r="N129" s="138"/>
      <x:c r="O129" s="138"/>
      <x:c r="P129" s="138"/>
      <x:c r="Q129" s="138"/>
      <x:c r="R129" s="138"/>
      <x:c r="S129" s="138"/>
      <x:c r="T129" s="138"/>
      <x:c r="U129" s="138"/>
      <x:c r="V129" s="138"/>
      <x:c r="W129" s="138"/>
      <x:c r="X129" s="138"/>
      <x:c r="Y129" s="138"/>
      <x:c r="Z129" s="138"/>
    </x:row>
    <x:row r="130">
      <x:c r="A130" s="138"/>
      <x:c r="B130" s="138"/>
      <x:c r="C130" s="138"/>
      <x:c r="D130" s="138"/>
      <x:c r="E130" s="138"/>
      <x:c r="F130" s="138"/>
      <x:c r="G130" s="138"/>
      <x:c r="H130" s="138"/>
      <x:c r="I130" s="138"/>
      <x:c r="J130" s="138"/>
      <x:c r="K130" s="138"/>
      <x:c r="L130" s="138"/>
      <x:c r="M130" s="138"/>
      <x:c r="N130" s="138"/>
      <x:c r="O130" s="138"/>
      <x:c r="P130" s="138"/>
      <x:c r="Q130" s="138"/>
      <x:c r="R130" s="138"/>
      <x:c r="S130" s="138"/>
      <x:c r="T130" s="138"/>
      <x:c r="U130" s="138"/>
      <x:c r="V130" s="138"/>
      <x:c r="W130" s="138"/>
      <x:c r="X130" s="138"/>
      <x:c r="Y130" s="138"/>
      <x:c r="Z130" s="138"/>
    </x:row>
    <x:row r="131">
      <x:c r="A131" s="138"/>
      <x:c r="B131" s="138"/>
      <x:c r="C131" s="138"/>
      <x:c r="D131" s="138"/>
      <x:c r="E131" s="138"/>
      <x:c r="F131" s="138"/>
      <x:c r="G131" s="138"/>
      <x:c r="H131" s="138"/>
      <x:c r="I131" s="138"/>
      <x:c r="J131" s="138"/>
      <x:c r="K131" s="138"/>
      <x:c r="L131" s="138"/>
      <x:c r="M131" s="138"/>
      <x:c r="N131" s="138"/>
      <x:c r="O131" s="138"/>
      <x:c r="P131" s="138"/>
      <x:c r="Q131" s="138"/>
      <x:c r="R131" s="138"/>
      <x:c r="S131" s="138"/>
      <x:c r="T131" s="138"/>
      <x:c r="U131" s="138"/>
      <x:c r="V131" s="138"/>
      <x:c r="W131" s="138"/>
      <x:c r="X131" s="138"/>
      <x:c r="Y131" s="138"/>
      <x:c r="Z131" s="138"/>
    </x:row>
    <x:row r="132">
      <x:c r="A132" s="138"/>
      <x:c r="B132" s="138"/>
      <x:c r="C132" s="138"/>
      <x:c r="D132" s="138"/>
      <x:c r="E132" s="138"/>
      <x:c r="F132" s="138"/>
      <x:c r="G132" s="138"/>
      <x:c r="H132" s="138"/>
      <x:c r="I132" s="138"/>
      <x:c r="J132" s="138"/>
      <x:c r="K132" s="138"/>
      <x:c r="L132" s="138"/>
      <x:c r="M132" s="138"/>
      <x:c r="N132" s="138"/>
      <x:c r="O132" s="138"/>
      <x:c r="P132" s="138"/>
      <x:c r="Q132" s="138"/>
      <x:c r="R132" s="138"/>
      <x:c r="S132" s="138"/>
      <x:c r="T132" s="138"/>
      <x:c r="U132" s="138"/>
      <x:c r="V132" s="138"/>
      <x:c r="W132" s="138"/>
      <x:c r="X132" s="138"/>
      <x:c r="Y132" s="138"/>
      <x:c r="Z132" s="138"/>
    </x:row>
    <x:row r="133">
      <x:c r="A133" s="138"/>
      <x:c r="B133" s="138"/>
      <x:c r="C133" s="138"/>
      <x:c r="D133" s="138"/>
      <x:c r="E133" s="138"/>
      <x:c r="F133" s="138"/>
      <x:c r="G133" s="138"/>
      <x:c r="H133" s="138"/>
      <x:c r="I133" s="138"/>
      <x:c r="J133" s="138"/>
      <x:c r="K133" s="138"/>
      <x:c r="L133" s="138"/>
      <x:c r="M133" s="138"/>
      <x:c r="N133" s="138"/>
      <x:c r="O133" s="138"/>
      <x:c r="P133" s="138"/>
      <x:c r="Q133" s="138"/>
      <x:c r="R133" s="138"/>
      <x:c r="S133" s="138"/>
      <x:c r="T133" s="138"/>
      <x:c r="U133" s="138"/>
      <x:c r="V133" s="138"/>
      <x:c r="W133" s="138"/>
      <x:c r="X133" s="138"/>
      <x:c r="Y133" s="138"/>
      <x:c r="Z133" s="138"/>
    </x:row>
    <x:row r="134">
      <x:c r="A134" s="138"/>
      <x:c r="B134" s="138"/>
      <x:c r="C134" s="138"/>
      <x:c r="D134" s="138"/>
      <x:c r="E134" s="138"/>
      <x:c r="F134" s="138"/>
      <x:c r="G134" s="138"/>
      <x:c r="H134" s="138"/>
      <x:c r="I134" s="138"/>
      <x:c r="J134" s="138"/>
      <x:c r="K134" s="138"/>
      <x:c r="L134" s="138"/>
      <x:c r="M134" s="138"/>
      <x:c r="N134" s="138"/>
      <x:c r="O134" s="138"/>
      <x:c r="P134" s="138"/>
      <x:c r="Q134" s="138"/>
      <x:c r="R134" s="138"/>
      <x:c r="S134" s="138"/>
      <x:c r="T134" s="138"/>
      <x:c r="U134" s="138"/>
      <x:c r="V134" s="138"/>
      <x:c r="W134" s="138"/>
      <x:c r="X134" s="138"/>
      <x:c r="Y134" s="138"/>
      <x:c r="Z134" s="138"/>
    </x:row>
    <x:row r="135">
      <x:c r="A135" s="138"/>
      <x:c r="B135" s="138"/>
      <x:c r="C135" s="138"/>
      <x:c r="D135" s="138"/>
      <x:c r="E135" s="138"/>
      <x:c r="F135" s="138"/>
      <x:c r="G135" s="138"/>
      <x:c r="H135" s="138"/>
      <x:c r="I135" s="138"/>
      <x:c r="J135" s="138"/>
      <x:c r="K135" s="138"/>
      <x:c r="L135" s="138"/>
      <x:c r="M135" s="138"/>
      <x:c r="N135" s="138"/>
      <x:c r="O135" s="138"/>
      <x:c r="P135" s="138"/>
      <x:c r="Q135" s="138"/>
      <x:c r="R135" s="138"/>
      <x:c r="S135" s="138"/>
      <x:c r="T135" s="138"/>
      <x:c r="U135" s="138"/>
      <x:c r="V135" s="138"/>
      <x:c r="W135" s="138"/>
      <x:c r="X135" s="138"/>
      <x:c r="Y135" s="138"/>
      <x:c r="Z135" s="138"/>
    </x:row>
    <x:row r="136">
      <x:c r="A136" s="138"/>
      <x:c r="B136" s="138"/>
      <x:c r="C136" s="138"/>
      <x:c r="D136" s="138"/>
      <x:c r="E136" s="138"/>
      <x:c r="F136" s="138"/>
      <x:c r="G136" s="138"/>
      <x:c r="H136" s="138"/>
      <x:c r="I136" s="138"/>
      <x:c r="J136" s="138"/>
      <x:c r="K136" s="138"/>
      <x:c r="L136" s="138"/>
      <x:c r="M136" s="138"/>
      <x:c r="N136" s="138"/>
      <x:c r="O136" s="138"/>
      <x:c r="P136" s="138"/>
      <x:c r="Q136" s="138"/>
      <x:c r="R136" s="138"/>
      <x:c r="S136" s="138"/>
      <x:c r="T136" s="138"/>
      <x:c r="U136" s="138"/>
      <x:c r="V136" s="138"/>
      <x:c r="W136" s="138"/>
      <x:c r="X136" s="138"/>
      <x:c r="Y136" s="138"/>
      <x:c r="Z136" s="138"/>
    </x:row>
    <x:row r="137">
      <x:c r="A137" s="138"/>
      <x:c r="B137" s="138"/>
      <x:c r="C137" s="138"/>
      <x:c r="D137" s="138"/>
      <x:c r="E137" s="138"/>
      <x:c r="F137" s="138"/>
      <x:c r="G137" s="138"/>
      <x:c r="H137" s="138"/>
      <x:c r="I137" s="138"/>
      <x:c r="J137" s="138"/>
      <x:c r="K137" s="138"/>
      <x:c r="L137" s="138"/>
      <x:c r="M137" s="138"/>
      <x:c r="N137" s="138"/>
      <x:c r="O137" s="138"/>
      <x:c r="P137" s="138"/>
      <x:c r="Q137" s="138"/>
      <x:c r="R137" s="138"/>
      <x:c r="S137" s="138"/>
      <x:c r="T137" s="138"/>
      <x:c r="U137" s="138"/>
      <x:c r="V137" s="138"/>
      <x:c r="W137" s="138"/>
      <x:c r="X137" s="138"/>
      <x:c r="Y137" s="138"/>
      <x:c r="Z137" s="138"/>
    </x:row>
    <x:row r="138">
      <x:c r="A138" s="138"/>
      <x:c r="B138" s="138"/>
      <x:c r="C138" s="138"/>
      <x:c r="D138" s="138"/>
      <x:c r="E138" s="138"/>
      <x:c r="F138" s="138"/>
      <x:c r="G138" s="138"/>
      <x:c r="H138" s="138"/>
      <x:c r="I138" s="138"/>
      <x:c r="J138" s="138"/>
      <x:c r="K138" s="138"/>
      <x:c r="L138" s="138"/>
      <x:c r="M138" s="138"/>
      <x:c r="N138" s="138"/>
      <x:c r="O138" s="138"/>
      <x:c r="P138" s="138"/>
      <x:c r="Q138" s="138"/>
      <x:c r="R138" s="138"/>
      <x:c r="S138" s="138"/>
      <x:c r="T138" s="138"/>
      <x:c r="U138" s="138"/>
      <x:c r="V138" s="138"/>
      <x:c r="W138" s="138"/>
      <x:c r="X138" s="138"/>
      <x:c r="Y138" s="138"/>
      <x:c r="Z138" s="138"/>
    </x:row>
    <x:row r="139">
      <x:c r="A139" s="138"/>
      <x:c r="B139" s="138"/>
      <x:c r="C139" s="138"/>
      <x:c r="D139" s="138"/>
      <x:c r="E139" s="138"/>
      <x:c r="F139" s="138"/>
      <x:c r="G139" s="138"/>
      <x:c r="H139" s="138"/>
      <x:c r="I139" s="138"/>
      <x:c r="J139" s="138"/>
      <x:c r="K139" s="138"/>
      <x:c r="L139" s="138"/>
      <x:c r="M139" s="138"/>
      <x:c r="N139" s="138"/>
      <x:c r="O139" s="138"/>
      <x:c r="P139" s="138"/>
      <x:c r="Q139" s="138"/>
      <x:c r="R139" s="138"/>
      <x:c r="S139" s="138"/>
      <x:c r="T139" s="138"/>
      <x:c r="U139" s="138"/>
      <x:c r="V139" s="138"/>
      <x:c r="W139" s="138"/>
      <x:c r="X139" s="138"/>
      <x:c r="Y139" s="138"/>
      <x:c r="Z139" s="138"/>
    </x:row>
    <x:row r="140">
      <x:c r="A140" s="138"/>
      <x:c r="B140" s="138"/>
      <x:c r="C140" s="138"/>
      <x:c r="D140" s="138"/>
      <x:c r="E140" s="138"/>
      <x:c r="F140" s="138"/>
      <x:c r="G140" s="138"/>
      <x:c r="H140" s="138"/>
      <x:c r="I140" s="138"/>
      <x:c r="J140" s="138"/>
      <x:c r="K140" s="138"/>
      <x:c r="L140" s="138"/>
      <x:c r="M140" s="138"/>
      <x:c r="N140" s="138"/>
      <x:c r="O140" s="138"/>
      <x:c r="P140" s="138"/>
      <x:c r="Q140" s="138"/>
      <x:c r="R140" s="138"/>
      <x:c r="S140" s="138"/>
      <x:c r="T140" s="138"/>
      <x:c r="U140" s="138"/>
      <x:c r="V140" s="138"/>
      <x:c r="W140" s="138"/>
      <x:c r="X140" s="138"/>
      <x:c r="Y140" s="138"/>
      <x:c r="Z140" s="138"/>
    </x:row>
    <x:row r="141">
      <x:c r="A141" s="138"/>
      <x:c r="B141" s="138"/>
      <x:c r="C141" s="138"/>
      <x:c r="D141" s="138"/>
      <x:c r="E141" s="138"/>
      <x:c r="F141" s="138"/>
      <x:c r="G141" s="138"/>
      <x:c r="H141" s="138"/>
      <x:c r="I141" s="138"/>
      <x:c r="J141" s="138"/>
      <x:c r="K141" s="138"/>
      <x:c r="L141" s="138"/>
      <x:c r="M141" s="138"/>
      <x:c r="N141" s="138"/>
      <x:c r="O141" s="138"/>
      <x:c r="P141" s="138"/>
      <x:c r="Q141" s="138"/>
      <x:c r="R141" s="138"/>
      <x:c r="S141" s="138"/>
      <x:c r="T141" s="138"/>
      <x:c r="U141" s="138"/>
      <x:c r="V141" s="138"/>
      <x:c r="W141" s="138"/>
      <x:c r="X141" s="138"/>
      <x:c r="Y141" s="138"/>
      <x:c r="Z141" s="138"/>
    </x:row>
    <x:row r="142">
      <x:c r="A142" s="138"/>
      <x:c r="B142" s="138"/>
      <x:c r="C142" s="138"/>
      <x:c r="D142" s="138"/>
      <x:c r="E142" s="138"/>
      <x:c r="F142" s="138"/>
      <x:c r="G142" s="138"/>
      <x:c r="H142" s="138"/>
      <x:c r="I142" s="138"/>
      <x:c r="J142" s="138"/>
      <x:c r="K142" s="138"/>
      <x:c r="L142" s="138"/>
      <x:c r="M142" s="138"/>
      <x:c r="N142" s="138"/>
      <x:c r="O142" s="138"/>
      <x:c r="P142" s="138"/>
      <x:c r="Q142" s="138"/>
      <x:c r="R142" s="138"/>
      <x:c r="S142" s="138"/>
      <x:c r="T142" s="138"/>
      <x:c r="U142" s="138"/>
      <x:c r="V142" s="138"/>
      <x:c r="W142" s="138"/>
      <x:c r="X142" s="138"/>
      <x:c r="Y142" s="138"/>
      <x:c r="Z142" s="138"/>
    </x:row>
    <x:row r="143">
      <x:c r="A143" s="138"/>
      <x:c r="B143" s="138"/>
      <x:c r="C143" s="138"/>
      <x:c r="D143" s="138"/>
      <x:c r="E143" s="138"/>
      <x:c r="F143" s="138"/>
      <x:c r="G143" s="138"/>
      <x:c r="H143" s="138"/>
      <x:c r="I143" s="138"/>
      <x:c r="J143" s="138"/>
      <x:c r="K143" s="138"/>
      <x:c r="L143" s="138"/>
      <x:c r="M143" s="138"/>
      <x:c r="N143" s="138"/>
      <x:c r="O143" s="138"/>
      <x:c r="P143" s="138"/>
      <x:c r="Q143" s="138"/>
      <x:c r="R143" s="138"/>
      <x:c r="S143" s="138"/>
      <x:c r="T143" s="138"/>
      <x:c r="U143" s="138"/>
      <x:c r="V143" s="138"/>
      <x:c r="W143" s="138"/>
      <x:c r="X143" s="138"/>
      <x:c r="Y143" s="138"/>
      <x:c r="Z143" s="138"/>
    </x:row>
    <x:row r="144">
      <x:c r="A144" s="138"/>
      <x:c r="B144" s="138"/>
      <x:c r="C144" s="138"/>
      <x:c r="D144" s="138"/>
      <x:c r="E144" s="138"/>
      <x:c r="F144" s="138"/>
      <x:c r="G144" s="138"/>
      <x:c r="H144" s="138"/>
      <x:c r="I144" s="138"/>
      <x:c r="J144" s="138"/>
      <x:c r="K144" s="138"/>
      <x:c r="L144" s="138"/>
      <x:c r="M144" s="138"/>
      <x:c r="N144" s="138"/>
      <x:c r="O144" s="138"/>
      <x:c r="P144" s="138"/>
      <x:c r="Q144" s="138"/>
      <x:c r="R144" s="138"/>
      <x:c r="S144" s="138"/>
      <x:c r="T144" s="138"/>
      <x:c r="U144" s="138"/>
      <x:c r="V144" s="138"/>
      <x:c r="W144" s="138"/>
      <x:c r="X144" s="138"/>
      <x:c r="Y144" s="138"/>
      <x:c r="Z144" s="138"/>
    </x:row>
    <x:row r="145">
      <x:c r="A145" s="138"/>
      <x:c r="B145" s="138"/>
      <x:c r="C145" s="138"/>
      <x:c r="D145" s="138"/>
      <x:c r="E145" s="138"/>
      <x:c r="F145" s="138"/>
      <x:c r="G145" s="138"/>
      <x:c r="H145" s="138"/>
      <x:c r="I145" s="138"/>
      <x:c r="J145" s="138"/>
      <x:c r="K145" s="138"/>
      <x:c r="L145" s="138"/>
      <x:c r="M145" s="138"/>
      <x:c r="N145" s="138"/>
      <x:c r="O145" s="138"/>
      <x:c r="P145" s="138"/>
      <x:c r="Q145" s="138"/>
      <x:c r="R145" s="138"/>
      <x:c r="S145" s="138"/>
      <x:c r="T145" s="138"/>
      <x:c r="U145" s="138"/>
      <x:c r="V145" s="138"/>
      <x:c r="W145" s="138"/>
      <x:c r="X145" s="138"/>
      <x:c r="Y145" s="138"/>
      <x:c r="Z145" s="138"/>
    </x:row>
    <x:row r="146">
      <x:c r="A146" s="138"/>
      <x:c r="B146" s="138"/>
      <x:c r="C146" s="138"/>
      <x:c r="D146" s="138"/>
      <x:c r="E146" s="138"/>
      <x:c r="F146" s="138"/>
      <x:c r="G146" s="138"/>
      <x:c r="H146" s="138"/>
      <x:c r="I146" s="138"/>
      <x:c r="J146" s="138"/>
      <x:c r="K146" s="138"/>
      <x:c r="L146" s="138"/>
      <x:c r="M146" s="138"/>
      <x:c r="N146" s="138"/>
      <x:c r="O146" s="138"/>
      <x:c r="P146" s="138"/>
      <x:c r="Q146" s="138"/>
      <x:c r="R146" s="138"/>
      <x:c r="S146" s="138"/>
      <x:c r="T146" s="138"/>
      <x:c r="U146" s="138"/>
      <x:c r="V146" s="138"/>
      <x:c r="W146" s="138"/>
      <x:c r="X146" s="138"/>
      <x:c r="Y146" s="138"/>
      <x:c r="Z146" s="138"/>
    </x:row>
    <x:row r="147">
      <x:c r="A147" s="138"/>
      <x:c r="B147" s="138"/>
      <x:c r="C147" s="138"/>
      <x:c r="D147" s="138"/>
      <x:c r="E147" s="138"/>
      <x:c r="F147" s="138"/>
      <x:c r="G147" s="138"/>
      <x:c r="H147" s="138"/>
      <x:c r="I147" s="138"/>
      <x:c r="J147" s="138"/>
      <x:c r="K147" s="138"/>
      <x:c r="L147" s="138"/>
      <x:c r="M147" s="138"/>
      <x:c r="N147" s="138"/>
      <x:c r="O147" s="138"/>
      <x:c r="P147" s="138"/>
      <x:c r="Q147" s="138"/>
      <x:c r="R147" s="138"/>
      <x:c r="S147" s="138"/>
      <x:c r="T147" s="138"/>
      <x:c r="U147" s="138"/>
      <x:c r="V147" s="138"/>
      <x:c r="W147" s="138"/>
      <x:c r="X147" s="138"/>
      <x:c r="Y147" s="138"/>
      <x:c r="Z147" s="138"/>
    </x:row>
    <x:row r="148">
      <x:c r="A148" s="138"/>
      <x:c r="B148" s="138"/>
      <x:c r="C148" s="138"/>
      <x:c r="D148" s="138"/>
      <x:c r="E148" s="138"/>
      <x:c r="F148" s="138"/>
      <x:c r="G148" s="138"/>
      <x:c r="H148" s="138"/>
      <x:c r="I148" s="138"/>
      <x:c r="J148" s="138"/>
      <x:c r="K148" s="138"/>
      <x:c r="L148" s="138"/>
      <x:c r="M148" s="138"/>
      <x:c r="N148" s="138"/>
      <x:c r="O148" s="138"/>
      <x:c r="P148" s="138"/>
      <x:c r="Q148" s="138"/>
      <x:c r="R148" s="138"/>
      <x:c r="S148" s="138"/>
      <x:c r="T148" s="138"/>
      <x:c r="U148" s="138"/>
      <x:c r="V148" s="138"/>
      <x:c r="W148" s="138"/>
      <x:c r="X148" s="138"/>
      <x:c r="Y148" s="138"/>
      <x:c r="Z148" s="138"/>
    </x:row>
    <x:row r="149">
      <x:c r="A149" s="138"/>
      <x:c r="B149" s="138"/>
      <x:c r="C149" s="138"/>
      <x:c r="D149" s="138"/>
      <x:c r="E149" s="138"/>
      <x:c r="F149" s="138"/>
      <x:c r="G149" s="138"/>
      <x:c r="H149" s="138"/>
      <x:c r="I149" s="138"/>
      <x:c r="J149" s="138"/>
      <x:c r="K149" s="138"/>
      <x:c r="L149" s="138"/>
      <x:c r="M149" s="138"/>
      <x:c r="N149" s="138"/>
      <x:c r="O149" s="138"/>
      <x:c r="P149" s="138"/>
      <x:c r="Q149" s="138"/>
      <x:c r="R149" s="138"/>
      <x:c r="S149" s="138"/>
      <x:c r="T149" s="138"/>
      <x:c r="U149" s="138"/>
      <x:c r="V149" s="138"/>
      <x:c r="W149" s="138"/>
      <x:c r="X149" s="138"/>
      <x:c r="Y149" s="138"/>
      <x:c r="Z149" s="138"/>
    </x:row>
    <x:row r="150">
      <x:c r="A150" s="138"/>
      <x:c r="B150" s="138"/>
      <x:c r="C150" s="138"/>
      <x:c r="D150" s="138"/>
      <x:c r="E150" s="138"/>
      <x:c r="F150" s="138"/>
      <x:c r="G150" s="138"/>
      <x:c r="H150" s="138"/>
      <x:c r="I150" s="138"/>
      <x:c r="J150" s="138"/>
      <x:c r="K150" s="138"/>
      <x:c r="L150" s="138"/>
      <x:c r="M150" s="138"/>
      <x:c r="N150" s="138"/>
      <x:c r="O150" s="138"/>
      <x:c r="P150" s="138"/>
      <x:c r="Q150" s="138"/>
      <x:c r="R150" s="138"/>
      <x:c r="S150" s="138"/>
      <x:c r="T150" s="138"/>
      <x:c r="U150" s="138"/>
      <x:c r="V150" s="138"/>
      <x:c r="W150" s="138"/>
      <x:c r="X150" s="138"/>
      <x:c r="Y150" s="138"/>
      <x:c r="Z150" s="138"/>
    </x:row>
    <x:row r="151">
      <x:c r="A151" s="138"/>
      <x:c r="B151" s="138"/>
      <x:c r="C151" s="138"/>
      <x:c r="D151" s="138"/>
      <x:c r="E151" s="138"/>
      <x:c r="F151" s="138"/>
      <x:c r="G151" s="138"/>
      <x:c r="H151" s="138"/>
      <x:c r="I151" s="138"/>
      <x:c r="J151" s="138"/>
      <x:c r="K151" s="138"/>
      <x:c r="L151" s="138"/>
      <x:c r="M151" s="138"/>
      <x:c r="N151" s="138"/>
      <x:c r="O151" s="138"/>
      <x:c r="P151" s="138"/>
      <x:c r="Q151" s="138"/>
      <x:c r="R151" s="138"/>
      <x:c r="S151" s="138"/>
      <x:c r="T151" s="138"/>
      <x:c r="U151" s="138"/>
      <x:c r="V151" s="138"/>
      <x:c r="W151" s="138"/>
      <x:c r="X151" s="138"/>
      <x:c r="Y151" s="138"/>
      <x:c r="Z151" s="138"/>
    </x:row>
    <x:row r="152">
      <x:c r="A152" s="138"/>
      <x:c r="B152" s="138"/>
      <x:c r="C152" s="138"/>
      <x:c r="D152" s="138"/>
      <x:c r="E152" s="138"/>
      <x:c r="F152" s="138"/>
      <x:c r="G152" s="138"/>
      <x:c r="H152" s="138"/>
      <x:c r="I152" s="138"/>
      <x:c r="J152" s="138"/>
      <x:c r="K152" s="138"/>
      <x:c r="L152" s="138"/>
      <x:c r="M152" s="138"/>
      <x:c r="N152" s="138"/>
      <x:c r="O152" s="138"/>
      <x:c r="P152" s="138"/>
      <x:c r="Q152" s="138"/>
      <x:c r="R152" s="138"/>
      <x:c r="S152" s="138"/>
      <x:c r="T152" s="138"/>
      <x:c r="U152" s="138"/>
      <x:c r="V152" s="138"/>
      <x:c r="W152" s="138"/>
      <x:c r="X152" s="138"/>
      <x:c r="Y152" s="138"/>
      <x:c r="Z152" s="138"/>
    </x:row>
    <x:row r="153">
      <x:c r="A153" s="138"/>
      <x:c r="B153" s="138"/>
      <x:c r="C153" s="138"/>
      <x:c r="D153" s="138"/>
      <x:c r="E153" s="138"/>
      <x:c r="F153" s="138"/>
      <x:c r="G153" s="138"/>
      <x:c r="H153" s="138"/>
      <x:c r="I153" s="138"/>
      <x:c r="J153" s="138"/>
      <x:c r="K153" s="138"/>
      <x:c r="L153" s="138"/>
      <x:c r="M153" s="138"/>
      <x:c r="N153" s="138"/>
      <x:c r="O153" s="138"/>
      <x:c r="P153" s="138"/>
      <x:c r="Q153" s="138"/>
      <x:c r="R153" s="138"/>
      <x:c r="S153" s="138"/>
      <x:c r="T153" s="138"/>
      <x:c r="U153" s="138"/>
      <x:c r="V153" s="138"/>
      <x:c r="W153" s="138"/>
      <x:c r="X153" s="138"/>
      <x:c r="Y153" s="138"/>
      <x:c r="Z153" s="138"/>
    </x:row>
    <x:row r="154">
      <x:c r="A154" s="138"/>
      <x:c r="B154" s="138"/>
      <x:c r="C154" s="138"/>
      <x:c r="D154" s="138"/>
      <x:c r="E154" s="138"/>
      <x:c r="F154" s="138"/>
      <x:c r="G154" s="138"/>
      <x:c r="H154" s="138"/>
      <x:c r="I154" s="138"/>
      <x:c r="J154" s="138"/>
      <x:c r="K154" s="138"/>
      <x:c r="L154" s="138"/>
      <x:c r="M154" s="138"/>
      <x:c r="N154" s="138"/>
      <x:c r="O154" s="138"/>
      <x:c r="P154" s="138"/>
      <x:c r="Q154" s="138"/>
      <x:c r="R154" s="138"/>
      <x:c r="S154" s="138"/>
      <x:c r="T154" s="138"/>
      <x:c r="U154" s="138"/>
      <x:c r="V154" s="138"/>
      <x:c r="W154" s="138"/>
      <x:c r="X154" s="138"/>
      <x:c r="Y154" s="138"/>
      <x:c r="Z154" s="138"/>
    </x:row>
    <x:row r="155">
      <x:c r="A155" s="138"/>
      <x:c r="B155" s="138"/>
      <x:c r="C155" s="138"/>
      <x:c r="D155" s="138"/>
      <x:c r="E155" s="138"/>
      <x:c r="F155" s="138"/>
      <x:c r="G155" s="138"/>
      <x:c r="H155" s="138"/>
      <x:c r="I155" s="138"/>
      <x:c r="J155" s="138"/>
      <x:c r="K155" s="138"/>
      <x:c r="L155" s="138"/>
      <x:c r="M155" s="138"/>
      <x:c r="N155" s="138"/>
      <x:c r="O155" s="138"/>
      <x:c r="P155" s="138"/>
      <x:c r="Q155" s="138"/>
      <x:c r="R155" s="138"/>
      <x:c r="S155" s="138"/>
      <x:c r="T155" s="138"/>
      <x:c r="U155" s="138"/>
      <x:c r="V155" s="138"/>
      <x:c r="W155" s="138"/>
      <x:c r="X155" s="138"/>
      <x:c r="Y155" s="138"/>
      <x:c r="Z155" s="138"/>
    </x:row>
    <x:row r="156">
      <x:c r="A156" s="138"/>
      <x:c r="B156" s="138"/>
      <x:c r="C156" s="138"/>
      <x:c r="D156" s="138"/>
      <x:c r="E156" s="138"/>
      <x:c r="F156" s="138"/>
      <x:c r="G156" s="138"/>
      <x:c r="H156" s="138"/>
      <x:c r="I156" s="138"/>
      <x:c r="J156" s="138"/>
      <x:c r="K156" s="138"/>
      <x:c r="L156" s="138"/>
      <x:c r="M156" s="138"/>
      <x:c r="N156" s="138"/>
      <x:c r="O156" s="138"/>
      <x:c r="P156" s="138"/>
      <x:c r="Q156" s="138"/>
      <x:c r="R156" s="138"/>
      <x:c r="S156" s="138"/>
      <x:c r="T156" s="138"/>
      <x:c r="U156" s="138"/>
      <x:c r="V156" s="138"/>
      <x:c r="W156" s="138"/>
      <x:c r="X156" s="138"/>
      <x:c r="Y156" s="138"/>
      <x:c r="Z156" s="138"/>
    </x:row>
    <x:row r="157">
      <x:c r="A157" s="138"/>
      <x:c r="B157" s="138"/>
      <x:c r="C157" s="138"/>
      <x:c r="D157" s="138"/>
      <x:c r="E157" s="138"/>
      <x:c r="F157" s="138"/>
      <x:c r="G157" s="138"/>
      <x:c r="H157" s="138"/>
      <x:c r="I157" s="138"/>
      <x:c r="J157" s="138"/>
      <x:c r="K157" s="138"/>
      <x:c r="L157" s="138"/>
      <x:c r="M157" s="138"/>
      <x:c r="N157" s="138"/>
      <x:c r="O157" s="138"/>
      <x:c r="P157" s="138"/>
      <x:c r="Q157" s="138"/>
      <x:c r="R157" s="138"/>
      <x:c r="S157" s="138"/>
      <x:c r="T157" s="138"/>
      <x:c r="U157" s="138"/>
      <x:c r="V157" s="138"/>
      <x:c r="W157" s="138"/>
      <x:c r="X157" s="138"/>
      <x:c r="Y157" s="138"/>
      <x:c r="Z157" s="138"/>
    </x:row>
    <x:row r="158">
      <x:c r="A158" s="138"/>
      <x:c r="B158" s="138"/>
      <x:c r="C158" s="138"/>
      <x:c r="D158" s="138"/>
      <x:c r="E158" s="138"/>
      <x:c r="F158" s="138"/>
      <x:c r="G158" s="138"/>
      <x:c r="H158" s="138"/>
      <x:c r="I158" s="138"/>
      <x:c r="J158" s="138"/>
      <x:c r="K158" s="138"/>
      <x:c r="L158" s="138"/>
      <x:c r="M158" s="138"/>
      <x:c r="N158" s="138"/>
      <x:c r="O158" s="138"/>
      <x:c r="P158" s="138"/>
      <x:c r="Q158" s="138"/>
      <x:c r="R158" s="138"/>
      <x:c r="S158" s="138"/>
      <x:c r="T158" s="138"/>
      <x:c r="U158" s="138"/>
      <x:c r="V158" s="138"/>
      <x:c r="W158" s="138"/>
      <x:c r="X158" s="138"/>
      <x:c r="Y158" s="138"/>
      <x:c r="Z158" s="138"/>
    </x:row>
    <x:row r="159">
      <x:c r="A159" s="138"/>
      <x:c r="B159" s="138"/>
      <x:c r="C159" s="138"/>
      <x:c r="D159" s="138"/>
      <x:c r="E159" s="138"/>
      <x:c r="F159" s="138"/>
      <x:c r="G159" s="138"/>
      <x:c r="H159" s="138"/>
      <x:c r="I159" s="138"/>
      <x:c r="J159" s="138"/>
      <x:c r="K159" s="138"/>
      <x:c r="L159" s="138"/>
      <x:c r="M159" s="138"/>
      <x:c r="N159" s="138"/>
      <x:c r="O159" s="138"/>
      <x:c r="P159" s="138"/>
      <x:c r="Q159" s="138"/>
      <x:c r="R159" s="138"/>
      <x:c r="S159" s="138"/>
      <x:c r="T159" s="138"/>
      <x:c r="U159" s="138"/>
      <x:c r="V159" s="138"/>
      <x:c r="W159" s="138"/>
      <x:c r="X159" s="138"/>
      <x:c r="Y159" s="138"/>
      <x:c r="Z159" s="138"/>
    </x:row>
    <x:row r="160">
      <x:c r="A160" s="138"/>
      <x:c r="B160" s="138"/>
      <x:c r="C160" s="138"/>
      <x:c r="D160" s="138"/>
      <x:c r="E160" s="138"/>
      <x:c r="F160" s="138"/>
      <x:c r="G160" s="138"/>
      <x:c r="H160" s="138"/>
      <x:c r="I160" s="138"/>
      <x:c r="J160" s="138"/>
      <x:c r="K160" s="138"/>
      <x:c r="L160" s="138"/>
      <x:c r="M160" s="138"/>
      <x:c r="N160" s="138"/>
      <x:c r="O160" s="138"/>
      <x:c r="P160" s="138"/>
      <x:c r="Q160" s="138"/>
      <x:c r="R160" s="138"/>
      <x:c r="S160" s="138"/>
      <x:c r="T160" s="138"/>
      <x:c r="U160" s="138"/>
      <x:c r="V160" s="138"/>
      <x:c r="W160" s="138"/>
      <x:c r="X160" s="138"/>
      <x:c r="Y160" s="138"/>
      <x:c r="Z160" s="138"/>
    </x:row>
    <x:row r="161">
      <x:c r="A161" s="138"/>
      <x:c r="B161" s="138"/>
      <x:c r="C161" s="138"/>
      <x:c r="D161" s="138"/>
      <x:c r="E161" s="138"/>
      <x:c r="F161" s="138"/>
      <x:c r="G161" s="138"/>
      <x:c r="H161" s="138"/>
      <x:c r="I161" s="138"/>
      <x:c r="J161" s="138"/>
      <x:c r="K161" s="138"/>
      <x:c r="L161" s="138"/>
      <x:c r="M161" s="138"/>
      <x:c r="N161" s="138"/>
      <x:c r="O161" s="138"/>
      <x:c r="P161" s="138"/>
      <x:c r="Q161" s="138"/>
      <x:c r="R161" s="138"/>
      <x:c r="S161" s="138"/>
      <x:c r="T161" s="138"/>
      <x:c r="U161" s="138"/>
      <x:c r="V161" s="138"/>
      <x:c r="W161" s="138"/>
      <x:c r="X161" s="138"/>
      <x:c r="Y161" s="138"/>
      <x:c r="Z161" s="138"/>
    </x:row>
    <x:row r="162">
      <x:c r="A162" s="138"/>
      <x:c r="B162" s="138"/>
      <x:c r="C162" s="138"/>
      <x:c r="D162" s="138"/>
      <x:c r="E162" s="138"/>
      <x:c r="F162" s="138"/>
      <x:c r="G162" s="138"/>
      <x:c r="H162" s="138"/>
      <x:c r="I162" s="138"/>
      <x:c r="J162" s="138"/>
      <x:c r="K162" s="138"/>
      <x:c r="L162" s="138"/>
      <x:c r="M162" s="138"/>
      <x:c r="N162" s="138"/>
      <x:c r="O162" s="138"/>
      <x:c r="P162" s="138"/>
      <x:c r="Q162" s="138"/>
      <x:c r="R162" s="138"/>
      <x:c r="S162" s="138"/>
      <x:c r="T162" s="138"/>
      <x:c r="U162" s="138"/>
      <x:c r="V162" s="138"/>
      <x:c r="W162" s="138"/>
      <x:c r="X162" s="138"/>
      <x:c r="Y162" s="138"/>
      <x:c r="Z162" s="138"/>
    </x:row>
    <x:row r="163">
      <x:c r="A163" s="138"/>
      <x:c r="B163" s="138"/>
      <x:c r="C163" s="138"/>
      <x:c r="D163" s="138"/>
      <x:c r="E163" s="138"/>
      <x:c r="F163" s="138"/>
      <x:c r="G163" s="138"/>
      <x:c r="H163" s="138"/>
      <x:c r="I163" s="138"/>
      <x:c r="J163" s="138"/>
      <x:c r="K163" s="138"/>
      <x:c r="L163" s="138"/>
      <x:c r="M163" s="138"/>
      <x:c r="N163" s="138"/>
      <x:c r="O163" s="138"/>
      <x:c r="P163" s="138"/>
      <x:c r="Q163" s="138"/>
      <x:c r="R163" s="138"/>
      <x:c r="S163" s="138"/>
      <x:c r="T163" s="138"/>
      <x:c r="U163" s="138"/>
      <x:c r="V163" s="138"/>
      <x:c r="W163" s="138"/>
      <x:c r="X163" s="138"/>
      <x:c r="Y163" s="138"/>
      <x:c r="Z163" s="138"/>
    </x:row>
    <x:row r="164">
      <x:c r="A164" s="138"/>
      <x:c r="B164" s="138"/>
      <x:c r="C164" s="138"/>
      <x:c r="D164" s="138"/>
      <x:c r="E164" s="138"/>
      <x:c r="F164" s="138"/>
      <x:c r="G164" s="138"/>
      <x:c r="H164" s="138"/>
      <x:c r="I164" s="138"/>
      <x:c r="J164" s="138"/>
      <x:c r="K164" s="138"/>
      <x:c r="L164" s="138"/>
      <x:c r="M164" s="138"/>
      <x:c r="N164" s="138"/>
      <x:c r="O164" s="138"/>
      <x:c r="P164" s="138"/>
      <x:c r="Q164" s="138"/>
      <x:c r="R164" s="138"/>
      <x:c r="S164" s="138"/>
      <x:c r="T164" s="138"/>
      <x:c r="U164" s="138"/>
      <x:c r="V164" s="138"/>
      <x:c r="W164" s="138"/>
      <x:c r="X164" s="138"/>
      <x:c r="Y164" s="138"/>
      <x:c r="Z164" s="138"/>
    </x:row>
    <x:row r="165">
      <x:c r="A165" s="138"/>
      <x:c r="B165" s="138"/>
      <x:c r="C165" s="138"/>
      <x:c r="D165" s="138"/>
      <x:c r="E165" s="138"/>
      <x:c r="F165" s="138"/>
      <x:c r="G165" s="138"/>
      <x:c r="H165" s="138"/>
      <x:c r="I165" s="138"/>
      <x:c r="J165" s="138"/>
      <x:c r="K165" s="138"/>
      <x:c r="L165" s="138"/>
      <x:c r="M165" s="138"/>
      <x:c r="N165" s="138"/>
      <x:c r="O165" s="138"/>
      <x:c r="P165" s="138"/>
      <x:c r="Q165" s="138"/>
      <x:c r="R165" s="138"/>
      <x:c r="S165" s="138"/>
      <x:c r="T165" s="138"/>
      <x:c r="U165" s="138"/>
      <x:c r="V165" s="138"/>
      <x:c r="W165" s="138"/>
      <x:c r="X165" s="138"/>
      <x:c r="Y165" s="138"/>
      <x:c r="Z165" s="138"/>
    </x:row>
    <x:row r="166">
      <x:c r="A166" s="138"/>
      <x:c r="B166" s="138"/>
      <x:c r="C166" s="138"/>
      <x:c r="D166" s="138"/>
      <x:c r="E166" s="138"/>
      <x:c r="F166" s="138"/>
      <x:c r="G166" s="138"/>
      <x:c r="H166" s="138"/>
      <x:c r="I166" s="138"/>
      <x:c r="J166" s="138"/>
      <x:c r="K166" s="138"/>
      <x:c r="L166" s="138"/>
      <x:c r="M166" s="138"/>
      <x:c r="N166" s="138"/>
      <x:c r="O166" s="138"/>
      <x:c r="P166" s="138"/>
      <x:c r="Q166" s="138"/>
      <x:c r="R166" s="138"/>
      <x:c r="S166" s="138"/>
      <x:c r="T166" s="138"/>
      <x:c r="U166" s="138"/>
      <x:c r="V166" s="138"/>
      <x:c r="W166" s="138"/>
      <x:c r="X166" s="138"/>
      <x:c r="Y166" s="138"/>
      <x:c r="Z166" s="138"/>
    </x:row>
    <x:row r="167">
      <x:c r="A167" s="138"/>
      <x:c r="B167" s="138"/>
      <x:c r="C167" s="138"/>
      <x:c r="D167" s="138"/>
      <x:c r="E167" s="138"/>
      <x:c r="F167" s="138"/>
      <x:c r="G167" s="138"/>
      <x:c r="H167" s="138"/>
      <x:c r="I167" s="138"/>
      <x:c r="J167" s="138"/>
      <x:c r="K167" s="138"/>
      <x:c r="L167" s="138"/>
      <x:c r="M167" s="138"/>
      <x:c r="N167" s="138"/>
      <x:c r="O167" s="138"/>
      <x:c r="P167" s="138"/>
      <x:c r="Q167" s="138"/>
      <x:c r="R167" s="138"/>
      <x:c r="S167" s="138"/>
      <x:c r="T167" s="138"/>
      <x:c r="U167" s="138"/>
      <x:c r="V167" s="138"/>
      <x:c r="W167" s="138"/>
      <x:c r="X167" s="138"/>
      <x:c r="Y167" s="138"/>
      <x:c r="Z167" s="138"/>
    </x:row>
    <x:row r="168">
      <x:c r="A168" s="138"/>
      <x:c r="B168" s="138"/>
      <x:c r="C168" s="138"/>
      <x:c r="D168" s="138"/>
      <x:c r="E168" s="138"/>
      <x:c r="F168" s="138"/>
      <x:c r="G168" s="138"/>
      <x:c r="H168" s="138"/>
      <x:c r="I168" s="138"/>
      <x:c r="J168" s="138"/>
      <x:c r="K168" s="138"/>
      <x:c r="L168" s="138"/>
      <x:c r="M168" s="138"/>
      <x:c r="N168" s="138"/>
      <x:c r="O168" s="138"/>
      <x:c r="P168" s="138"/>
      <x:c r="Q168" s="138"/>
      <x:c r="R168" s="138"/>
      <x:c r="S168" s="138"/>
      <x:c r="T168" s="138"/>
      <x:c r="U168" s="138"/>
      <x:c r="V168" s="138"/>
      <x:c r="W168" s="138"/>
      <x:c r="X168" s="138"/>
      <x:c r="Y168" s="138"/>
      <x:c r="Z168" s="138"/>
    </x:row>
    <x:row r="169">
      <x:c r="A169" s="138"/>
      <x:c r="B169" s="138"/>
      <x:c r="C169" s="138"/>
      <x:c r="D169" s="138"/>
      <x:c r="E169" s="138"/>
      <x:c r="F169" s="138"/>
      <x:c r="G169" s="138"/>
      <x:c r="H169" s="138"/>
      <x:c r="I169" s="138"/>
      <x:c r="J169" s="138"/>
      <x:c r="K169" s="138"/>
      <x:c r="L169" s="138"/>
      <x:c r="M169" s="138"/>
      <x:c r="N169" s="138"/>
      <x:c r="O169" s="138"/>
      <x:c r="P169" s="138"/>
      <x:c r="Q169" s="138"/>
      <x:c r="R169" s="138"/>
      <x:c r="S169" s="138"/>
      <x:c r="T169" s="138"/>
      <x:c r="U169" s="138"/>
      <x:c r="V169" s="138"/>
      <x:c r="W169" s="138"/>
      <x:c r="X169" s="138"/>
      <x:c r="Y169" s="138"/>
      <x:c r="Z169" s="138"/>
    </x:row>
    <x:row r="170">
      <x:c r="A170" s="138"/>
      <x:c r="B170" s="138"/>
      <x:c r="C170" s="138"/>
      <x:c r="D170" s="138"/>
      <x:c r="E170" s="138"/>
      <x:c r="F170" s="138"/>
      <x:c r="G170" s="138"/>
      <x:c r="H170" s="138"/>
      <x:c r="I170" s="138"/>
      <x:c r="J170" s="138"/>
      <x:c r="K170" s="138"/>
      <x:c r="L170" s="138"/>
      <x:c r="M170" s="138"/>
      <x:c r="N170" s="138"/>
      <x:c r="O170" s="138"/>
      <x:c r="P170" s="138"/>
      <x:c r="Q170" s="138"/>
      <x:c r="R170" s="138"/>
      <x:c r="S170" s="138"/>
      <x:c r="T170" s="138"/>
      <x:c r="U170" s="138"/>
      <x:c r="V170" s="138"/>
      <x:c r="W170" s="138"/>
      <x:c r="X170" s="138"/>
      <x:c r="Y170" s="138"/>
      <x:c r="Z170" s="138"/>
    </x:row>
    <x:row r="171">
      <x:c r="A171" s="138"/>
      <x:c r="B171" s="138"/>
      <x:c r="C171" s="138"/>
      <x:c r="D171" s="138"/>
      <x:c r="E171" s="138"/>
      <x:c r="F171" s="138"/>
      <x:c r="G171" s="138"/>
      <x:c r="H171" s="138"/>
      <x:c r="I171" s="138"/>
      <x:c r="J171" s="138"/>
      <x:c r="K171" s="138"/>
      <x:c r="L171" s="138"/>
      <x:c r="M171" s="138"/>
      <x:c r="N171" s="138"/>
      <x:c r="O171" s="138"/>
      <x:c r="P171" s="138"/>
      <x:c r="Q171" s="138"/>
      <x:c r="R171" s="138"/>
      <x:c r="S171" s="138"/>
      <x:c r="T171" s="138"/>
      <x:c r="U171" s="138"/>
      <x:c r="V171" s="138"/>
      <x:c r="W171" s="138"/>
      <x:c r="X171" s="138"/>
      <x:c r="Y171" s="138"/>
      <x:c r="Z171" s="138"/>
    </x:row>
    <x:row r="172">
      <x:c r="A172" s="138"/>
      <x:c r="B172" s="138"/>
      <x:c r="C172" s="138"/>
      <x:c r="D172" s="138"/>
      <x:c r="E172" s="138"/>
      <x:c r="F172" s="138"/>
      <x:c r="G172" s="138"/>
      <x:c r="H172" s="138"/>
      <x:c r="I172" s="138"/>
      <x:c r="J172" s="138"/>
      <x:c r="K172" s="138"/>
      <x:c r="L172" s="138"/>
      <x:c r="M172" s="138"/>
      <x:c r="N172" s="138"/>
      <x:c r="O172" s="138"/>
      <x:c r="P172" s="138"/>
      <x:c r="Q172" s="138"/>
      <x:c r="R172" s="138"/>
      <x:c r="S172" s="138"/>
      <x:c r="T172" s="138"/>
      <x:c r="U172" s="138"/>
      <x:c r="V172" s="138"/>
      <x:c r="W172" s="138"/>
      <x:c r="X172" s="138"/>
      <x:c r="Y172" s="138"/>
      <x:c r="Z172" s="138"/>
    </x:row>
    <x:row r="173">
      <x:c r="A173" s="138"/>
      <x:c r="B173" s="138"/>
      <x:c r="C173" s="138"/>
      <x:c r="D173" s="138"/>
      <x:c r="E173" s="138"/>
      <x:c r="F173" s="138"/>
      <x:c r="G173" s="138"/>
      <x:c r="H173" s="138"/>
      <x:c r="I173" s="138"/>
      <x:c r="J173" s="138"/>
      <x:c r="K173" s="138"/>
      <x:c r="L173" s="138"/>
      <x:c r="M173" s="138"/>
      <x:c r="N173" s="138"/>
      <x:c r="O173" s="138"/>
      <x:c r="P173" s="138"/>
      <x:c r="Q173" s="138"/>
      <x:c r="R173" s="138"/>
      <x:c r="S173" s="138"/>
      <x:c r="T173" s="138"/>
      <x:c r="U173" s="138"/>
      <x:c r="V173" s="138"/>
      <x:c r="W173" s="138"/>
      <x:c r="X173" s="138"/>
      <x:c r="Y173" s="138"/>
      <x:c r="Z173" s="138"/>
    </x:row>
    <x:row r="174">
      <x:c r="A174" s="138"/>
      <x:c r="B174" s="138"/>
      <x:c r="C174" s="138"/>
      <x:c r="D174" s="138"/>
      <x:c r="E174" s="138"/>
      <x:c r="F174" s="138"/>
      <x:c r="G174" s="138"/>
      <x:c r="H174" s="138"/>
      <x:c r="I174" s="138"/>
      <x:c r="J174" s="138"/>
      <x:c r="K174" s="138"/>
      <x:c r="L174" s="138"/>
      <x:c r="M174" s="138"/>
      <x:c r="N174" s="138"/>
      <x:c r="O174" s="138"/>
      <x:c r="P174" s="138"/>
      <x:c r="Q174" s="138"/>
      <x:c r="R174" s="138"/>
      <x:c r="S174" s="138"/>
      <x:c r="T174" s="138"/>
      <x:c r="U174" s="138"/>
      <x:c r="V174" s="138"/>
      <x:c r="W174" s="138"/>
      <x:c r="X174" s="138"/>
      <x:c r="Y174" s="138"/>
      <x:c r="Z174" s="138"/>
    </x:row>
    <x:row r="175">
      <x:c r="A175" s="138"/>
      <x:c r="B175" s="138"/>
      <x:c r="C175" s="138"/>
      <x:c r="D175" s="138"/>
      <x:c r="E175" s="138"/>
      <x:c r="F175" s="138"/>
      <x:c r="G175" s="138"/>
      <x:c r="H175" s="138"/>
      <x:c r="I175" s="138"/>
      <x:c r="J175" s="138"/>
      <x:c r="K175" s="138"/>
      <x:c r="L175" s="138"/>
      <x:c r="M175" s="138"/>
      <x:c r="N175" s="138"/>
      <x:c r="O175" s="138"/>
      <x:c r="P175" s="138"/>
      <x:c r="Q175" s="138"/>
      <x:c r="R175" s="138"/>
      <x:c r="S175" s="138"/>
      <x:c r="T175" s="138"/>
      <x:c r="U175" s="138"/>
      <x:c r="V175" s="138"/>
      <x:c r="W175" s="138"/>
      <x:c r="X175" s="138"/>
      <x:c r="Y175" s="138"/>
      <x:c r="Z175" s="138"/>
    </x:row>
    <x:row r="176">
      <x:c r="A176" s="138"/>
      <x:c r="B176" s="138"/>
      <x:c r="C176" s="138"/>
      <x:c r="D176" s="138"/>
      <x:c r="E176" s="138"/>
      <x:c r="F176" s="138"/>
      <x:c r="G176" s="138"/>
      <x:c r="H176" s="138"/>
      <x:c r="I176" s="138"/>
      <x:c r="J176" s="138"/>
      <x:c r="K176" s="138"/>
      <x:c r="L176" s="138"/>
      <x:c r="M176" s="138"/>
      <x:c r="N176" s="138"/>
      <x:c r="O176" s="138"/>
      <x:c r="P176" s="138"/>
      <x:c r="Q176" s="138"/>
      <x:c r="R176" s="138"/>
      <x:c r="S176" s="138"/>
      <x:c r="T176" s="138"/>
      <x:c r="U176" s="138"/>
      <x:c r="V176" s="138"/>
      <x:c r="W176" s="138"/>
      <x:c r="X176" s="138"/>
      <x:c r="Y176" s="138"/>
      <x:c r="Z176" s="138"/>
    </x:row>
    <x:row r="177">
      <x:c r="A177" s="138"/>
      <x:c r="B177" s="138"/>
      <x:c r="C177" s="138"/>
      <x:c r="D177" s="138"/>
      <x:c r="E177" s="138"/>
      <x:c r="F177" s="138"/>
      <x:c r="G177" s="138"/>
      <x:c r="H177" s="138"/>
      <x:c r="I177" s="138"/>
      <x:c r="J177" s="138"/>
      <x:c r="K177" s="138"/>
      <x:c r="L177" s="138"/>
      <x:c r="M177" s="138"/>
      <x:c r="N177" s="138"/>
      <x:c r="O177" s="138"/>
      <x:c r="P177" s="138"/>
      <x:c r="Q177" s="138"/>
      <x:c r="R177" s="138"/>
      <x:c r="S177" s="138"/>
      <x:c r="T177" s="138"/>
      <x:c r="U177" s="138"/>
      <x:c r="V177" s="138"/>
      <x:c r="W177" s="138"/>
      <x:c r="X177" s="138"/>
      <x:c r="Y177" s="138"/>
      <x:c r="Z177" s="138"/>
    </x:row>
    <x:row r="178">
      <x:c r="A178" s="138"/>
      <x:c r="B178" s="138"/>
      <x:c r="C178" s="138"/>
      <x:c r="D178" s="138"/>
      <x:c r="E178" s="138"/>
      <x:c r="F178" s="138"/>
      <x:c r="G178" s="138"/>
      <x:c r="H178" s="138"/>
      <x:c r="I178" s="138"/>
      <x:c r="J178" s="138"/>
      <x:c r="K178" s="138"/>
      <x:c r="L178" s="138"/>
      <x:c r="M178" s="138"/>
      <x:c r="N178" s="138"/>
      <x:c r="O178" s="138"/>
      <x:c r="P178" s="138"/>
      <x:c r="Q178" s="138"/>
      <x:c r="R178" s="138"/>
      <x:c r="S178" s="138"/>
      <x:c r="T178" s="138"/>
      <x:c r="U178" s="138"/>
      <x:c r="V178" s="138"/>
      <x:c r="W178" s="138"/>
      <x:c r="X178" s="138"/>
      <x:c r="Y178" s="138"/>
      <x:c r="Z178" s="138"/>
    </x:row>
    <x:row r="179">
      <x:c r="A179" s="138"/>
      <x:c r="B179" s="138"/>
      <x:c r="C179" s="138"/>
      <x:c r="D179" s="138"/>
      <x:c r="E179" s="138"/>
      <x:c r="F179" s="138"/>
      <x:c r="G179" s="138"/>
      <x:c r="H179" s="138"/>
      <x:c r="I179" s="138"/>
      <x:c r="J179" s="138"/>
      <x:c r="K179" s="138"/>
      <x:c r="L179" s="138"/>
      <x:c r="M179" s="138"/>
      <x:c r="N179" s="138"/>
      <x:c r="O179" s="138"/>
      <x:c r="P179" s="138"/>
      <x:c r="Q179" s="138"/>
      <x:c r="R179" s="138"/>
      <x:c r="S179" s="138"/>
      <x:c r="T179" s="138"/>
      <x:c r="U179" s="138"/>
      <x:c r="V179" s="138"/>
      <x:c r="W179" s="138"/>
      <x:c r="X179" s="138"/>
      <x:c r="Y179" s="138"/>
      <x:c r="Z179" s="138"/>
    </x:row>
    <x:row r="180">
      <x:c r="A180" s="138"/>
      <x:c r="B180" s="138"/>
      <x:c r="C180" s="138"/>
      <x:c r="D180" s="138"/>
      <x:c r="E180" s="138"/>
      <x:c r="F180" s="138"/>
      <x:c r="G180" s="138"/>
      <x:c r="H180" s="138"/>
      <x:c r="I180" s="138"/>
      <x:c r="J180" s="138"/>
      <x:c r="K180" s="138"/>
      <x:c r="L180" s="138"/>
      <x:c r="M180" s="138"/>
      <x:c r="N180" s="138"/>
      <x:c r="O180" s="138"/>
      <x:c r="P180" s="138"/>
      <x:c r="Q180" s="138"/>
      <x:c r="R180" s="138"/>
      <x:c r="S180" s="138"/>
      <x:c r="T180" s="138"/>
      <x:c r="U180" s="138"/>
      <x:c r="V180" s="138"/>
      <x:c r="W180" s="138"/>
      <x:c r="X180" s="138"/>
      <x:c r="Y180" s="138"/>
      <x:c r="Z180" s="138"/>
    </x:row>
    <x:row r="181">
      <x:c r="A181" s="138"/>
      <x:c r="B181" s="138"/>
      <x:c r="C181" s="138"/>
      <x:c r="D181" s="138"/>
      <x:c r="E181" s="138"/>
      <x:c r="F181" s="138"/>
      <x:c r="G181" s="138"/>
      <x:c r="H181" s="138"/>
      <x:c r="I181" s="138"/>
      <x:c r="J181" s="138"/>
      <x:c r="K181" s="138"/>
      <x:c r="L181" s="138"/>
      <x:c r="M181" s="138"/>
      <x:c r="N181" s="138"/>
      <x:c r="O181" s="138"/>
      <x:c r="P181" s="138"/>
      <x:c r="Q181" s="138"/>
      <x:c r="R181" s="138"/>
      <x:c r="S181" s="138"/>
      <x:c r="T181" s="138"/>
      <x:c r="U181" s="138"/>
      <x:c r="V181" s="138"/>
      <x:c r="W181" s="138"/>
      <x:c r="X181" s="138"/>
      <x:c r="Y181" s="138"/>
      <x:c r="Z181" s="138"/>
    </x:row>
    <x:row r="182">
      <x:c r="A182" s="138"/>
      <x:c r="B182" s="138"/>
      <x:c r="C182" s="138"/>
      <x:c r="D182" s="138"/>
      <x:c r="E182" s="138"/>
      <x:c r="F182" s="138"/>
      <x:c r="G182" s="138"/>
      <x:c r="H182" s="138"/>
      <x:c r="I182" s="138"/>
      <x:c r="J182" s="138"/>
      <x:c r="K182" s="138"/>
      <x:c r="L182" s="138"/>
      <x:c r="M182" s="138"/>
      <x:c r="N182" s="138"/>
      <x:c r="O182" s="138"/>
      <x:c r="P182" s="138"/>
      <x:c r="Q182" s="138"/>
      <x:c r="R182" s="138"/>
      <x:c r="S182" s="138"/>
      <x:c r="T182" s="138"/>
      <x:c r="U182" s="138"/>
      <x:c r="V182" s="138"/>
      <x:c r="W182" s="138"/>
      <x:c r="X182" s="138"/>
      <x:c r="Y182" s="138"/>
      <x:c r="Z182" s="138"/>
    </x:row>
    <x:row r="183">
      <x:c r="A183" s="138"/>
      <x:c r="B183" s="138"/>
      <x:c r="C183" s="138"/>
      <x:c r="D183" s="138"/>
      <x:c r="E183" s="138"/>
      <x:c r="F183" s="138"/>
      <x:c r="G183" s="138"/>
      <x:c r="H183" s="138"/>
      <x:c r="I183" s="138"/>
      <x:c r="J183" s="138"/>
      <x:c r="K183" s="138"/>
      <x:c r="L183" s="138"/>
      <x:c r="M183" s="138"/>
      <x:c r="N183" s="138"/>
      <x:c r="O183" s="138"/>
      <x:c r="P183" s="138"/>
      <x:c r="Q183" s="138"/>
      <x:c r="R183" s="138"/>
      <x:c r="S183" s="138"/>
      <x:c r="T183" s="138"/>
      <x:c r="U183" s="138"/>
      <x:c r="V183" s="138"/>
      <x:c r="W183" s="138"/>
      <x:c r="X183" s="138"/>
      <x:c r="Y183" s="138"/>
      <x:c r="Z183" s="138"/>
    </x:row>
    <x:row r="184">
      <x:c r="A184" s="138"/>
      <x:c r="B184" s="138"/>
      <x:c r="C184" s="138"/>
      <x:c r="D184" s="138"/>
      <x:c r="E184" s="138"/>
      <x:c r="F184" s="138"/>
      <x:c r="G184" s="138"/>
      <x:c r="H184" s="138"/>
      <x:c r="I184" s="138"/>
      <x:c r="J184" s="138"/>
      <x:c r="K184" s="138"/>
      <x:c r="L184" s="138"/>
      <x:c r="M184" s="138"/>
      <x:c r="N184" s="138"/>
      <x:c r="O184" s="138"/>
      <x:c r="P184" s="138"/>
      <x:c r="Q184" s="138"/>
      <x:c r="R184" s="138"/>
      <x:c r="S184" s="138"/>
      <x:c r="T184" s="138"/>
      <x:c r="U184" s="138"/>
      <x:c r="V184" s="138"/>
      <x:c r="W184" s="138"/>
      <x:c r="X184" s="138"/>
      <x:c r="Y184" s="138"/>
      <x:c r="Z184" s="138"/>
    </x:row>
    <x:row r="185">
      <x:c r="A185" s="138"/>
      <x:c r="B185" s="138"/>
      <x:c r="C185" s="138"/>
      <x:c r="D185" s="138"/>
      <x:c r="E185" s="138"/>
      <x:c r="F185" s="138"/>
      <x:c r="G185" s="138"/>
      <x:c r="H185" s="138"/>
      <x:c r="I185" s="138"/>
      <x:c r="J185" s="138"/>
      <x:c r="K185" s="138"/>
      <x:c r="L185" s="138"/>
      <x:c r="M185" s="138"/>
      <x:c r="N185" s="138"/>
      <x:c r="O185" s="138"/>
      <x:c r="P185" s="138"/>
      <x:c r="Q185" s="138"/>
      <x:c r="R185" s="138"/>
      <x:c r="S185" s="138"/>
      <x:c r="T185" s="138"/>
      <x:c r="U185" s="138"/>
      <x:c r="V185" s="138"/>
      <x:c r="W185" s="138"/>
      <x:c r="X185" s="138"/>
      <x:c r="Y185" s="138"/>
      <x:c r="Z185" s="138"/>
    </x:row>
    <x:row r="186">
      <x:c r="A186" s="138"/>
      <x:c r="B186" s="138"/>
      <x:c r="C186" s="138"/>
      <x:c r="D186" s="138"/>
      <x:c r="E186" s="138"/>
      <x:c r="F186" s="138"/>
      <x:c r="G186" s="138"/>
      <x:c r="H186" s="138"/>
      <x:c r="I186" s="138"/>
      <x:c r="J186" s="138"/>
      <x:c r="K186" s="138"/>
      <x:c r="L186" s="138"/>
      <x:c r="M186" s="138"/>
      <x:c r="N186" s="138"/>
      <x:c r="O186" s="138"/>
      <x:c r="P186" s="138"/>
      <x:c r="Q186" s="138"/>
      <x:c r="R186" s="138"/>
      <x:c r="S186" s="138"/>
      <x:c r="T186" s="138"/>
      <x:c r="U186" s="138"/>
      <x:c r="V186" s="138"/>
      <x:c r="W186" s="138"/>
      <x:c r="X186" s="138"/>
      <x:c r="Y186" s="138"/>
      <x:c r="Z186" s="138"/>
    </x:row>
    <x:row r="187">
      <x:c r="A187" s="138"/>
      <x:c r="B187" s="138"/>
      <x:c r="C187" s="138"/>
      <x:c r="D187" s="138"/>
      <x:c r="E187" s="138"/>
      <x:c r="F187" s="138"/>
      <x:c r="G187" s="138"/>
      <x:c r="H187" s="138"/>
      <x:c r="I187" s="138"/>
      <x:c r="J187" s="138"/>
      <x:c r="K187" s="138"/>
      <x:c r="L187" s="138"/>
      <x:c r="M187" s="138"/>
      <x:c r="N187" s="138"/>
      <x:c r="O187" s="138"/>
      <x:c r="P187" s="138"/>
      <x:c r="Q187" s="138"/>
      <x:c r="R187" s="138"/>
      <x:c r="S187" s="138"/>
      <x:c r="T187" s="138"/>
      <x:c r="U187" s="138"/>
      <x:c r="V187" s="138"/>
      <x:c r="W187" s="138"/>
      <x:c r="X187" s="138"/>
      <x:c r="Y187" s="138"/>
      <x:c r="Z187" s="138"/>
    </x:row>
    <x:row r="188">
      <x:c r="A188" s="138"/>
      <x:c r="B188" s="138"/>
      <x:c r="C188" s="138"/>
      <x:c r="D188" s="138"/>
      <x:c r="E188" s="138"/>
      <x:c r="F188" s="138"/>
      <x:c r="G188" s="138"/>
      <x:c r="H188" s="138"/>
      <x:c r="I188" s="138"/>
      <x:c r="J188" s="138"/>
      <x:c r="K188" s="138"/>
      <x:c r="L188" s="138"/>
      <x:c r="M188" s="138"/>
      <x:c r="N188" s="138"/>
      <x:c r="O188" s="138"/>
      <x:c r="P188" s="138"/>
      <x:c r="Q188" s="138"/>
      <x:c r="R188" s="138"/>
      <x:c r="S188" s="138"/>
      <x:c r="T188" s="138"/>
      <x:c r="U188" s="138"/>
      <x:c r="V188" s="138"/>
      <x:c r="W188" s="138"/>
      <x:c r="X188" s="138"/>
      <x:c r="Y188" s="138"/>
      <x:c r="Z188" s="138"/>
    </x:row>
    <x:row r="189">
      <x:c r="A189" s="138"/>
      <x:c r="B189" s="138"/>
      <x:c r="C189" s="138"/>
      <x:c r="D189" s="138"/>
      <x:c r="E189" s="138"/>
      <x:c r="F189" s="138"/>
      <x:c r="G189" s="138"/>
      <x:c r="H189" s="138"/>
      <x:c r="I189" s="138"/>
      <x:c r="J189" s="138"/>
      <x:c r="K189" s="138"/>
      <x:c r="L189" s="138"/>
      <x:c r="M189" s="138"/>
      <x:c r="N189" s="138"/>
      <x:c r="O189" s="138"/>
      <x:c r="P189" s="138"/>
      <x:c r="Q189" s="138"/>
      <x:c r="R189" s="138"/>
      <x:c r="S189" s="138"/>
      <x:c r="T189" s="138"/>
      <x:c r="U189" s="138"/>
      <x:c r="V189" s="138"/>
      <x:c r="W189" s="138"/>
      <x:c r="X189" s="138"/>
      <x:c r="Y189" s="138"/>
      <x:c r="Z189" s="138"/>
    </x:row>
    <x:row r="190">
      <x:c r="A190" s="138"/>
      <x:c r="B190" s="138"/>
      <x:c r="C190" s="138"/>
      <x:c r="D190" s="138"/>
      <x:c r="E190" s="138"/>
      <x:c r="F190" s="138"/>
      <x:c r="G190" s="138"/>
      <x:c r="H190" s="138"/>
      <x:c r="I190" s="138"/>
      <x:c r="J190" s="138"/>
      <x:c r="K190" s="138"/>
      <x:c r="L190" s="138"/>
      <x:c r="M190" s="138"/>
      <x:c r="N190" s="138"/>
      <x:c r="O190" s="138"/>
      <x:c r="P190" s="138"/>
      <x:c r="Q190" s="138"/>
      <x:c r="R190" s="138"/>
      <x:c r="S190" s="138"/>
      <x:c r="T190" s="138"/>
      <x:c r="U190" s="138"/>
      <x:c r="V190" s="138"/>
      <x:c r="W190" s="138"/>
      <x:c r="X190" s="138"/>
      <x:c r="Y190" s="138"/>
      <x:c r="Z190" s="138"/>
    </x:row>
    <x:row r="191">
      <x:c r="A191" s="138"/>
      <x:c r="B191" s="138"/>
      <x:c r="C191" s="138"/>
      <x:c r="D191" s="138"/>
      <x:c r="E191" s="138"/>
      <x:c r="F191" s="138"/>
      <x:c r="G191" s="138"/>
      <x:c r="H191" s="138"/>
      <x:c r="I191" s="138"/>
      <x:c r="J191" s="138"/>
      <x:c r="K191" s="138"/>
      <x:c r="L191" s="138"/>
      <x:c r="M191" s="138"/>
      <x:c r="N191" s="138"/>
      <x:c r="O191" s="138"/>
      <x:c r="P191" s="138"/>
      <x:c r="Q191" s="138"/>
      <x:c r="R191" s="138"/>
      <x:c r="S191" s="138"/>
      <x:c r="T191" s="138"/>
      <x:c r="U191" s="138"/>
      <x:c r="V191" s="138"/>
      <x:c r="W191" s="138"/>
      <x:c r="X191" s="138"/>
      <x:c r="Y191" s="138"/>
      <x:c r="Z191" s="138"/>
    </x:row>
    <x:row r="192">
      <x:c r="A192" s="138"/>
      <x:c r="B192" s="138"/>
      <x:c r="C192" s="138"/>
      <x:c r="D192" s="138"/>
      <x:c r="E192" s="138"/>
      <x:c r="F192" s="138"/>
      <x:c r="G192" s="138"/>
      <x:c r="H192" s="138"/>
      <x:c r="I192" s="138"/>
      <x:c r="J192" s="138"/>
      <x:c r="K192" s="138"/>
      <x:c r="L192" s="138"/>
      <x:c r="M192" s="138"/>
      <x:c r="N192" s="138"/>
      <x:c r="O192" s="138"/>
      <x:c r="P192" s="138"/>
      <x:c r="Q192" s="138"/>
      <x:c r="R192" s="138"/>
      <x:c r="S192" s="138"/>
      <x:c r="T192" s="138"/>
      <x:c r="U192" s="138"/>
      <x:c r="V192" s="138"/>
      <x:c r="W192" s="138"/>
      <x:c r="X192" s="138"/>
      <x:c r="Y192" s="138"/>
      <x:c r="Z192" s="138"/>
    </x:row>
    <x:row r="193">
      <x:c r="A193" s="138"/>
      <x:c r="B193" s="138"/>
      <x:c r="C193" s="138"/>
      <x:c r="D193" s="138"/>
      <x:c r="E193" s="138"/>
      <x:c r="F193" s="138"/>
      <x:c r="G193" s="138"/>
      <x:c r="H193" s="138"/>
      <x:c r="I193" s="138"/>
      <x:c r="J193" s="138"/>
      <x:c r="K193" s="138"/>
      <x:c r="L193" s="138"/>
      <x:c r="M193" s="138"/>
      <x:c r="N193" s="138"/>
      <x:c r="O193" s="138"/>
      <x:c r="P193" s="138"/>
      <x:c r="Q193" s="138"/>
      <x:c r="R193" s="138"/>
      <x:c r="S193" s="138"/>
      <x:c r="T193" s="138"/>
      <x:c r="U193" s="138"/>
      <x:c r="V193" s="138"/>
      <x:c r="W193" s="138"/>
      <x:c r="X193" s="138"/>
      <x:c r="Y193" s="138"/>
      <x:c r="Z193" s="138"/>
    </x:row>
    <x:row r="194">
      <x:c r="A194" s="138"/>
      <x:c r="B194" s="138"/>
      <x:c r="C194" s="138"/>
      <x:c r="D194" s="138"/>
      <x:c r="E194" s="138"/>
      <x:c r="F194" s="138"/>
      <x:c r="G194" s="138"/>
      <x:c r="H194" s="138"/>
      <x:c r="I194" s="138"/>
      <x:c r="J194" s="138"/>
      <x:c r="K194" s="138"/>
      <x:c r="L194" s="138"/>
      <x:c r="M194" s="138"/>
      <x:c r="N194" s="138"/>
      <x:c r="O194" s="138"/>
      <x:c r="P194" s="138"/>
      <x:c r="Q194" s="138"/>
      <x:c r="R194" s="138"/>
      <x:c r="S194" s="138"/>
      <x:c r="T194" s="138"/>
      <x:c r="U194" s="138"/>
      <x:c r="V194" s="138"/>
      <x:c r="W194" s="138"/>
      <x:c r="X194" s="138"/>
      <x:c r="Y194" s="138"/>
      <x:c r="Z194" s="138"/>
    </x:row>
    <x:row r="195">
      <x:c r="A195" s="138"/>
      <x:c r="B195" s="138"/>
      <x:c r="C195" s="138"/>
      <x:c r="D195" s="138"/>
      <x:c r="E195" s="138"/>
      <x:c r="F195" s="138"/>
      <x:c r="G195" s="138"/>
      <x:c r="H195" s="138"/>
      <x:c r="I195" s="138"/>
      <x:c r="J195" s="138"/>
      <x:c r="K195" s="138"/>
      <x:c r="L195" s="138"/>
      <x:c r="M195" s="138"/>
      <x:c r="N195" s="138"/>
      <x:c r="O195" s="138"/>
      <x:c r="P195" s="138"/>
      <x:c r="Q195" s="138"/>
      <x:c r="R195" s="138"/>
      <x:c r="S195" s="138"/>
      <x:c r="T195" s="138"/>
      <x:c r="U195" s="138"/>
      <x:c r="V195" s="138"/>
      <x:c r="W195" s="138"/>
      <x:c r="X195" s="138"/>
      <x:c r="Y195" s="138"/>
      <x:c r="Z195" s="138"/>
    </x:row>
    <x:row r="196">
      <x:c r="A196" s="138"/>
      <x:c r="B196" s="138"/>
      <x:c r="C196" s="138"/>
      <x:c r="D196" s="138"/>
      <x:c r="E196" s="138"/>
      <x:c r="F196" s="138"/>
      <x:c r="G196" s="138"/>
      <x:c r="H196" s="138"/>
      <x:c r="I196" s="138"/>
      <x:c r="J196" s="138"/>
      <x:c r="K196" s="138"/>
      <x:c r="L196" s="138"/>
      <x:c r="M196" s="138"/>
      <x:c r="N196" s="138"/>
      <x:c r="O196" s="138"/>
      <x:c r="P196" s="138"/>
      <x:c r="Q196" s="138"/>
      <x:c r="R196" s="138"/>
      <x:c r="S196" s="138"/>
      <x:c r="T196" s="138"/>
      <x:c r="U196" s="138"/>
      <x:c r="V196" s="138"/>
      <x:c r="W196" s="138"/>
      <x:c r="X196" s="138"/>
      <x:c r="Y196" s="138"/>
      <x:c r="Z196" s="138"/>
    </x:row>
    <x:row r="197">
      <x:c r="A197" s="138"/>
      <x:c r="B197" s="138"/>
      <x:c r="C197" s="138"/>
      <x:c r="D197" s="138"/>
      <x:c r="E197" s="138"/>
      <x:c r="F197" s="138"/>
      <x:c r="G197" s="138"/>
      <x:c r="H197" s="138"/>
      <x:c r="I197" s="138"/>
      <x:c r="J197" s="138"/>
      <x:c r="K197" s="138"/>
      <x:c r="L197" s="138"/>
      <x:c r="M197" s="138"/>
      <x:c r="N197" s="138"/>
      <x:c r="O197" s="138"/>
      <x:c r="P197" s="138"/>
      <x:c r="Q197" s="138"/>
      <x:c r="R197" s="138"/>
      <x:c r="S197" s="138"/>
      <x:c r="T197" s="138"/>
      <x:c r="U197" s="138"/>
      <x:c r="V197" s="138"/>
      <x:c r="W197" s="138"/>
      <x:c r="X197" s="138"/>
      <x:c r="Y197" s="138"/>
      <x:c r="Z197" s="138"/>
    </x:row>
    <x:row r="198">
      <x:c r="A198" s="138"/>
      <x:c r="B198" s="138"/>
      <x:c r="C198" s="138"/>
      <x:c r="D198" s="138"/>
      <x:c r="E198" s="138"/>
      <x:c r="F198" s="138"/>
      <x:c r="G198" s="138"/>
      <x:c r="H198" s="138"/>
      <x:c r="I198" s="138"/>
      <x:c r="J198" s="138"/>
      <x:c r="K198" s="138"/>
      <x:c r="L198" s="138"/>
      <x:c r="M198" s="138"/>
      <x:c r="N198" s="138"/>
      <x:c r="O198" s="138"/>
      <x:c r="P198" s="138"/>
      <x:c r="Q198" s="138"/>
      <x:c r="R198" s="138"/>
      <x:c r="S198" s="138"/>
      <x:c r="T198" s="138"/>
      <x:c r="U198" s="138"/>
      <x:c r="V198" s="138"/>
      <x:c r="W198" s="138"/>
      <x:c r="X198" s="138"/>
      <x:c r="Y198" s="138"/>
      <x:c r="Z198" s="138"/>
    </x:row>
    <x:row r="199">
      <x:c r="A199" s="138"/>
      <x:c r="B199" s="138"/>
      <x:c r="C199" s="138"/>
      <x:c r="D199" s="138"/>
      <x:c r="E199" s="138"/>
      <x:c r="F199" s="138"/>
      <x:c r="G199" s="138"/>
      <x:c r="H199" s="138"/>
      <x:c r="I199" s="138"/>
      <x:c r="J199" s="138"/>
      <x:c r="K199" s="138"/>
      <x:c r="L199" s="138"/>
      <x:c r="M199" s="138"/>
      <x:c r="N199" s="138"/>
      <x:c r="O199" s="138"/>
      <x:c r="P199" s="138"/>
      <x:c r="Q199" s="138"/>
      <x:c r="R199" s="138"/>
      <x:c r="S199" s="138"/>
      <x:c r="T199" s="138"/>
      <x:c r="U199" s="138"/>
      <x:c r="V199" s="138"/>
      <x:c r="W199" s="138"/>
      <x:c r="X199" s="138"/>
      <x:c r="Y199" s="138"/>
      <x:c r="Z199" s="138"/>
    </x:row>
    <x:row r="200">
      <x:c r="A200" s="138"/>
      <x:c r="B200" s="138"/>
      <x:c r="C200" s="138"/>
      <x:c r="D200" s="138"/>
      <x:c r="E200" s="138"/>
      <x:c r="F200" s="138"/>
      <x:c r="G200" s="138"/>
      <x:c r="H200" s="138"/>
      <x:c r="I200" s="138"/>
      <x:c r="J200" s="138"/>
      <x:c r="K200" s="138"/>
      <x:c r="L200" s="138"/>
      <x:c r="M200" s="138"/>
      <x:c r="N200" s="138"/>
      <x:c r="O200" s="138"/>
      <x:c r="P200" s="138"/>
      <x:c r="Q200" s="138"/>
      <x:c r="R200" s="138"/>
      <x:c r="S200" s="138"/>
      <x:c r="T200" s="138"/>
      <x:c r="U200" s="138"/>
      <x:c r="V200" s="138"/>
      <x:c r="W200" s="138"/>
      <x:c r="X200" s="138"/>
      <x:c r="Y200" s="138"/>
      <x:c r="Z200" s="138"/>
    </x:row>
  </x:sheetData>
  <x:mergeCells>
    <x:mergeCell ref="A1:F1"/>
    <x:mergeCell ref="A2:F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40" hidden="0" customWidth="1"/>
    <x:col min="3" max="3" width="14" hidden="0" customWidth="1"/>
    <x:col min="4" max="4" width="27" hidden="0" customWidth="1"/>
    <x:col min="5" max="5" width="66" hidden="0" customWidth="1"/>
    <x:col min="6" max="6" width="42" hidden="0" customWidth="1"/>
  </x:cols>
  <x:sheetData>
    <x:row r="1" ht="32" customHeight="1">
      <x:c r="A1" s="137" t="str">
        <x:v>Sources &amp; Audit Trail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  <x:c r="V1" s="138"/>
      <x:c r="W1" s="138"/>
      <x:c r="X1" s="138"/>
      <x:c r="Y1" s="138"/>
      <x:c r="Z1" s="138"/>
    </x:row>
    <x:row r="2" ht="30" customHeight="1">
      <x:c r="A2" s="139" t="str">
        <x:v>Primary sources and repo evidence used in the model.</x:v>
      </x:c>
      <x:c r="B2" s="138"/>
      <x:c r="C2" s="138"/>
      <x:c r="D2" s="138"/>
      <x:c r="E2" s="138"/>
      <x:c r="F2" s="138"/>
      <x:c r="G2" s="138"/>
      <x:c r="H2" s="138"/>
      <x:c r="I2" s="138"/>
      <x:c r="J2" s="138"/>
      <x:c r="K2" s="138"/>
      <x:c r="L2" s="138"/>
      <x:c r="M2" s="138"/>
      <x:c r="N2" s="138"/>
      <x:c r="O2" s="138"/>
      <x:c r="P2" s="138"/>
      <x:c r="Q2" s="138"/>
      <x:c r="R2" s="138"/>
      <x:c r="S2" s="138"/>
      <x:c r="T2" s="138"/>
      <x:c r="U2" s="138"/>
      <x:c r="V2" s="138"/>
      <x:c r="W2" s="138"/>
      <x:c r="X2" s="138"/>
      <x:c r="Y2" s="138"/>
      <x:c r="Z2" s="138"/>
    </x:row>
    <x:row r="3">
      <x:c r="A3" s="138"/>
      <x:c r="B3" s="138"/>
      <x:c r="C3" s="138"/>
      <x:c r="D3" s="138"/>
      <x:c r="E3" s="138"/>
      <x:c r="F3" s="138"/>
      <x:c r="G3" s="138"/>
      <x:c r="H3" s="138"/>
      <x:c r="I3" s="138"/>
      <x:c r="J3" s="138"/>
      <x:c r="K3" s="138"/>
      <x:c r="L3" s="138"/>
      <x:c r="M3" s="138"/>
      <x:c r="N3" s="138"/>
      <x:c r="O3" s="138"/>
      <x:c r="P3" s="138"/>
      <x:c r="Q3" s="138"/>
      <x:c r="R3" s="138"/>
      <x:c r="S3" s="138"/>
      <x:c r="T3" s="138"/>
      <x:c r="U3" s="138"/>
      <x:c r="V3" s="138"/>
      <x:c r="W3" s="138"/>
      <x:c r="X3" s="138"/>
      <x:c r="Y3" s="138"/>
      <x:c r="Z3" s="138"/>
    </x:row>
    <x:row r="4">
      <x:c r="A4" s="141" t="str">
        <x:v>Item</x:v>
      </x:c>
      <x:c r="B4" s="142" t="str">
        <x:v>Value / claim</x:v>
      </x:c>
      <x:c r="C4" s="142" t="str">
        <x:v>As of</x:v>
      </x:c>
      <x:c r="D4" s="142" t="str">
        <x:v>Source</x:v>
      </x:c>
      <x:c r="E4" s="142" t="str">
        <x:v>URL / file</x:v>
      </x:c>
      <x:c r="F4" s="143" t="str">
        <x:v>Notes</x:v>
      </x:c>
      <x:c r="G4" s="138"/>
      <x:c r="H4" s="138"/>
      <x:c r="I4" s="138"/>
      <x:c r="J4" s="138"/>
      <x:c r="K4" s="138"/>
      <x:c r="L4" s="138"/>
      <x:c r="M4" s="138"/>
      <x:c r="N4" s="138"/>
      <x:c r="O4" s="138"/>
      <x:c r="P4" s="138"/>
      <x:c r="Q4" s="138"/>
      <x:c r="R4" s="138"/>
      <x:c r="S4" s="138"/>
      <x:c r="T4" s="138"/>
      <x:c r="U4" s="138"/>
      <x:c r="V4" s="138"/>
      <x:c r="W4" s="138"/>
      <x:c r="X4" s="138"/>
      <x:c r="Y4" s="138"/>
      <x:c r="Z4" s="138"/>
    </x:row>
    <x:row r="5">
      <x:c r="A5" s="144" t="str">
        <x:v>Apollo add-on credits</x:v>
      </x:c>
      <x:c r="B5" s="151" t="str">
        <x:v>$0.025 at 1K; ~$0.016 at 20K+; ~$0.015 at 250K</x:v>
      </x:c>
      <x:c r="C5" s="151" t="str">
        <x:v>2026-06-15</x:v>
      </x:c>
      <x:c r="D5" s="151" t="str">
        <x:v>Apollo live UI</x:v>
      </x:c>
      <x:c r="E5" s="151" t="str">
        <x:v>User-provided confirmed reference</x:v>
      </x:c>
      <x:c r="F5" s="146" t="str">
        <x:v>Use conservative high rate for phone; base/mid for plan model.</x:v>
      </x:c>
      <x:c r="G5" s="138"/>
      <x:c r="H5" s="138"/>
      <x:c r="I5" s="138"/>
      <x:c r="J5" s="138"/>
      <x:c r="K5" s="138"/>
      <x:c r="L5" s="138"/>
      <x:c r="M5" s="138"/>
      <x:c r="N5" s="138"/>
      <x:c r="O5" s="138"/>
      <x:c r="P5" s="138"/>
      <x:c r="Q5" s="138"/>
      <x:c r="R5" s="138"/>
      <x:c r="S5" s="138"/>
      <x:c r="T5" s="138"/>
      <x:c r="U5" s="138"/>
      <x:c r="V5" s="138"/>
      <x:c r="W5" s="138"/>
      <x:c r="X5" s="138"/>
      <x:c r="Y5" s="138"/>
      <x:c r="Z5" s="138"/>
    </x:row>
    <x:row r="6">
      <x:c r="A6" s="152" t="str">
        <x:v>Apollo enriched contact</x:v>
      </x:c>
      <x:c r="B6" s="154" t="str">
        <x:v>~1.3 Apollo credits, company deduped</x:v>
      </x:c>
      <x:c r="C6" s="154" t="str">
        <x:v>2026-06-15</x:v>
      </x:c>
      <x:c r="D6" s="154" t="str">
        <x:v>Arcova confirmed provider analysis</x:v>
      </x:c>
      <x:c r="E6" s="154" t="str">
        <x:v>User-provided confirmed reference</x:v>
      </x:c>
      <x:c r="F6" s="155" t="str">
        <x:v>All-in with Apify + ZB roughly $0.03–$0.04.</x:v>
      </x:c>
      <x:c r="G6" s="138"/>
      <x:c r="H6" s="138"/>
      <x:c r="I6" s="138"/>
      <x:c r="J6" s="138"/>
      <x:c r="K6" s="138"/>
      <x:c r="L6" s="138"/>
      <x:c r="M6" s="138"/>
      <x:c r="N6" s="138"/>
      <x:c r="O6" s="138"/>
      <x:c r="P6" s="138"/>
      <x:c r="Q6" s="138"/>
      <x:c r="R6" s="138"/>
      <x:c r="S6" s="138"/>
      <x:c r="T6" s="138"/>
      <x:c r="U6" s="138"/>
      <x:c r="V6" s="138"/>
      <x:c r="W6" s="138"/>
      <x:c r="X6" s="138"/>
      <x:c r="Y6" s="138"/>
      <x:c r="Z6" s="138"/>
    </x:row>
    <x:row r="7">
      <x:c r="A7" s="152" t="str">
        <x:v>Apollo phone reveal</x:v>
      </x:c>
      <x:c r="B7" s="154" t="str">
        <x:v>8 Apollo credits</x:v>
      </x:c>
      <x:c r="C7" s="154" t="str">
        <x:v>2026-06-15</x:v>
      </x:c>
      <x:c r="D7" s="154" t="str">
        <x:v>Apollo live UI + Arcova code</x:v>
      </x:c>
      <x:c r="E7" s="154" t="str">
        <x:v>/Users/emma/biosignals-gtm-2026/biosignals-app/lib/provider-usage.ts</x:v>
      </x:c>
      <x:c r="F7" s="155" t="str">
        <x:v>Separate premium action.</x:v>
      </x:c>
      <x:c r="G7" s="138"/>
      <x:c r="H7" s="138"/>
      <x:c r="I7" s="138"/>
      <x:c r="J7" s="138"/>
      <x:c r="K7" s="138"/>
      <x:c r="L7" s="138"/>
      <x:c r="M7" s="138"/>
      <x:c r="N7" s="138"/>
      <x:c r="O7" s="138"/>
      <x:c r="P7" s="138"/>
      <x:c r="Q7" s="138"/>
      <x:c r="R7" s="138"/>
      <x:c r="S7" s="138"/>
      <x:c r="T7" s="138"/>
      <x:c r="U7" s="138"/>
      <x:c r="V7" s="138"/>
      <x:c r="W7" s="138"/>
      <x:c r="X7" s="138"/>
      <x:c r="Y7" s="138"/>
      <x:c r="Z7" s="138"/>
    </x:row>
    <x:row r="8">
      <x:c r="A8" s="152" t="str">
        <x:v>Apify profile scrape</x:v>
      </x:c>
      <x:c r="B8" s="154" t="str">
        <x:v>$0.004 / result</x:v>
      </x:c>
      <x:c r="C8" s="154" t="str">
        <x:v>2026-06-15</x:v>
      </x:c>
      <x:c r="D8" s="154" t="str">
        <x:v>Apify actor pricing</x:v>
      </x:c>
      <x:c r="E8" s="154" t="str">
        <x:v>/Users/emma/biosignals-gtm-2026/biosignals-app/lib/provider-usage.ts</x:v>
      </x:c>
      <x:c r="F8" s="155" t="str">
        <x:v>Linear variable cost.</x:v>
      </x:c>
      <x:c r="G8" s="138"/>
      <x:c r="H8" s="138"/>
      <x:c r="I8" s="138"/>
      <x:c r="J8" s="138"/>
      <x:c r="K8" s="138"/>
      <x:c r="L8" s="138"/>
      <x:c r="M8" s="138"/>
      <x:c r="N8" s="138"/>
      <x:c r="O8" s="138"/>
      <x:c r="P8" s="138"/>
      <x:c r="Q8" s="138"/>
      <x:c r="R8" s="138"/>
      <x:c r="S8" s="138"/>
      <x:c r="T8" s="138"/>
      <x:c r="U8" s="138"/>
      <x:c r="V8" s="138"/>
      <x:c r="W8" s="138"/>
      <x:c r="X8" s="138"/>
      <x:c r="Y8" s="138"/>
      <x:c r="Z8" s="138"/>
    </x:row>
    <x:row r="9">
      <x:c r="A9" s="152" t="str">
        <x:v>Haiku 4.5 pricing</x:v>
      </x:c>
      <x:c r="B9" s="154" t="str">
        <x:v>$1 input / $5 output per MTok</x:v>
      </x:c>
      <x:c r="C9" s="154" t="str">
        <x:v>2026-06-18</x:v>
      </x:c>
      <x:c r="D9" s="154" t="str">
        <x:v>Anthropic official docs</x:v>
      </x:c>
      <x:c r="E9" s="154" t="str">
        <x:v>https://platform.claude.com/docs/en/about-claude/pricing</x:v>
      </x:c>
      <x:c r="F9" s="155" t="str">
        <x:v>Repo cost table is stale at $0.80/$4.</x:v>
      </x:c>
      <x:c r="G9" s="138"/>
      <x:c r="H9" s="138"/>
      <x:c r="I9" s="138"/>
      <x:c r="J9" s="138"/>
      <x:c r="K9" s="138"/>
      <x:c r="L9" s="138"/>
      <x:c r="M9" s="138"/>
      <x:c r="N9" s="138"/>
      <x:c r="O9" s="138"/>
      <x:c r="P9" s="138"/>
      <x:c r="Q9" s="138"/>
      <x:c r="R9" s="138"/>
      <x:c r="S9" s="138"/>
      <x:c r="T9" s="138"/>
      <x:c r="U9" s="138"/>
      <x:c r="V9" s="138"/>
      <x:c r="W9" s="138"/>
      <x:c r="X9" s="138"/>
      <x:c r="Y9" s="138"/>
      <x:c r="Z9" s="138"/>
    </x:row>
    <x:row r="10">
      <x:c r="A10" s="152" t="str">
        <x:v>Import behavior</x:v>
      </x:c>
      <x:c r="B10" s="154" t="str">
        <x:v>All non-duplicate rows currently enrich</x:v>
      </x:c>
      <x:c r="C10" s="154" t="str">
        <x:v>2026-06-18</x:v>
      </x:c>
      <x:c r="D10" s="154" t="str">
        <x:v>Arcova code audit</x:v>
      </x:c>
      <x:c r="E10" s="154" t="str">
        <x:v>/Users/emma/biosignals-gtm-2026/biosignals-app/app/api/import-contacts/route.ts</x:v>
      </x:c>
      <x:c r="F10" s="155" t="str">
        <x:v>quotaHeldIds is never populated.</x:v>
      </x:c>
      <x:c r="G10" s="138"/>
      <x:c r="H10" s="138"/>
      <x:c r="I10" s="138"/>
      <x:c r="J10" s="138"/>
      <x:c r="K10" s="138"/>
      <x:c r="L10" s="138"/>
      <x:c r="M10" s="138"/>
      <x:c r="N10" s="138"/>
      <x:c r="O10" s="138"/>
      <x:c r="P10" s="138"/>
      <x:c r="Q10" s="138"/>
      <x:c r="R10" s="138"/>
      <x:c r="S10" s="138"/>
      <x:c r="T10" s="138"/>
      <x:c r="U10" s="138"/>
      <x:c r="V10" s="138"/>
      <x:c r="W10" s="138"/>
      <x:c r="X10" s="138"/>
      <x:c r="Y10" s="138"/>
      <x:c r="Z10" s="138"/>
    </x:row>
    <x:row r="11">
      <x:c r="A11" s="152" t="str">
        <x:v>Phone behavior</x:v>
      </x:c>
      <x:c r="B11" s="154" t="str">
        <x:v>Automatic reveal after fit if no phone</x:v>
      </x:c>
      <x:c r="C11" s="154" t="str">
        <x:v>2026-06-18</x:v>
      </x:c>
      <x:c r="D11" s="154" t="str">
        <x:v>Arcova code audit</x:v>
      </x:c>
      <x:c r="E11" s="154" t="str">
        <x:v>/Users/emma/biosignals-gtm-2026/biosignals-app/lib/enrichment-pipeline.ts</x:v>
      </x:c>
      <x:c r="F11" s="155" t="str">
        <x:v>Must become explicit click.</x:v>
      </x:c>
      <x:c r="G11" s="138"/>
      <x:c r="H11" s="138"/>
      <x:c r="I11" s="138"/>
      <x:c r="J11" s="138"/>
      <x:c r="K11" s="138"/>
      <x:c r="L11" s="138"/>
      <x:c r="M11" s="138"/>
      <x:c r="N11" s="138"/>
      <x:c r="O11" s="138"/>
      <x:c r="P11" s="138"/>
      <x:c r="Q11" s="138"/>
      <x:c r="R11" s="138"/>
      <x:c r="S11" s="138"/>
      <x:c r="T11" s="138"/>
      <x:c r="U11" s="138"/>
      <x:c r="V11" s="138"/>
      <x:c r="W11" s="138"/>
      <x:c r="X11" s="138"/>
      <x:c r="Y11" s="138"/>
      <x:c r="Z11" s="138"/>
    </x:row>
    <x:row r="12">
      <x:c r="A12" s="152" t="str">
        <x:v>Job-change sweep</x:v>
      </x:c>
      <x:c r="B12" s="154" t="str">
        <x:v>Fit-gated; cadence based on plan</x:v>
      </x:c>
      <x:c r="C12" s="154" t="str">
        <x:v>2026-06-18</x:v>
      </x:c>
      <x:c r="D12" s="154" t="str">
        <x:v>Arcova code audit</x:v>
      </x:c>
      <x:c r="E12" s="154" t="str">
        <x:v>/Users/emma/biosignals-gtm-2026/biosignals-app/lib/signals/run-job-change-monitor.ts</x:v>
      </x:c>
      <x:c r="F12" s="155" t="str">
        <x:v>Monthly Starter, weekly Growth in current draft.</x:v>
      </x:c>
      <x:c r="G12" s="138"/>
      <x:c r="H12" s="138"/>
      <x:c r="I12" s="138"/>
      <x:c r="J12" s="138"/>
      <x:c r="K12" s="138"/>
      <x:c r="L12" s="138"/>
      <x:c r="M12" s="138"/>
      <x:c r="N12" s="138"/>
      <x:c r="O12" s="138"/>
      <x:c r="P12" s="138"/>
      <x:c r="Q12" s="138"/>
      <x:c r="R12" s="138"/>
      <x:c r="S12" s="138"/>
      <x:c r="T12" s="138"/>
      <x:c r="U12" s="138"/>
      <x:c r="V12" s="138"/>
      <x:c r="W12" s="138"/>
      <x:c r="X12" s="138"/>
      <x:c r="Y12" s="138"/>
      <x:c r="Z12" s="138"/>
    </x:row>
    <x:row r="13">
      <x:c r="A13" s="152" t="str">
        <x:v>New ICP behavior</x:v>
      </x:c>
      <x:c r="B13" s="154" t="str">
        <x:v>Cached deterministic company/contact rescore</x:v>
      </x:c>
      <x:c r="C13" s="154" t="str">
        <x:v>2026-06-18</x:v>
      </x:c>
      <x:c r="D13" s="154" t="str">
        <x:v>Arcova code audit</x:v>
      </x:c>
      <x:c r="E13" s="154" t="str">
        <x:v>/Users/emma/biosignals-gtm-2026/biosignals-app/lib/rescore.ts</x:v>
      </x:c>
      <x:c r="F13" s="155" t="str">
        <x:v>No blanket paid re-triage required.</x:v>
      </x:c>
      <x:c r="G13" s="138"/>
      <x:c r="H13" s="138"/>
      <x:c r="I13" s="138"/>
      <x:c r="J13" s="138"/>
      <x:c r="K13" s="138"/>
      <x:c r="L13" s="138"/>
      <x:c r="M13" s="138"/>
      <x:c r="N13" s="138"/>
      <x:c r="O13" s="138"/>
      <x:c r="P13" s="138"/>
      <x:c r="Q13" s="138"/>
      <x:c r="R13" s="138"/>
      <x:c r="S13" s="138"/>
      <x:c r="T13" s="138"/>
      <x:c r="U13" s="138"/>
      <x:c r="V13" s="138"/>
      <x:c r="W13" s="138"/>
      <x:c r="X13" s="138"/>
      <x:c r="Y13" s="138"/>
      <x:c r="Z13" s="138"/>
    </x:row>
    <x:row r="14">
      <x:c r="A14" s="152" t="str">
        <x:v>ZeroBounce validation</x:v>
      </x:c>
      <x:c r="B14" s="154" t="str">
        <x:v>~$0.005 base assumption</x:v>
      </x:c>
      <x:c r="C14" s="154" t="str">
        <x:v>2026-06-18</x:v>
      </x:c>
      <x:c r="D14" s="154" t="str">
        <x:v>Arcova confirmed reference / PAYG</x:v>
      </x:c>
      <x:c r="E14" s="154" t="str">
        <x:v>https://www.zerobounce.net/services/email-validation-pricing.html</x:v>
      </x:c>
      <x:c r="F14" s="155" t="str">
        <x:v>Model includes low/high sensitivity.</x:v>
      </x:c>
      <x:c r="G14" s="138"/>
      <x:c r="H14" s="138"/>
      <x:c r="I14" s="138"/>
      <x:c r="J14" s="138"/>
      <x:c r="K14" s="138"/>
      <x:c r="L14" s="138"/>
      <x:c r="M14" s="138"/>
      <x:c r="N14" s="138"/>
      <x:c r="O14" s="138"/>
      <x:c r="P14" s="138"/>
      <x:c r="Q14" s="138"/>
      <x:c r="R14" s="138"/>
      <x:c r="S14" s="138"/>
      <x:c r="T14" s="138"/>
      <x:c r="U14" s="138"/>
      <x:c r="V14" s="138"/>
      <x:c r="W14" s="138"/>
      <x:c r="X14" s="138"/>
      <x:c r="Y14" s="138"/>
      <x:c r="Z14" s="138"/>
    </x:row>
    <x:row r="15">
      <x:c r="A15" s="152" t="str">
        <x:v>ZeroBounce finder</x:v>
      </x:c>
      <x:c r="B15" s="154" t="str">
        <x:v>20 credits per successful find in Arcova meter</x:v>
      </x:c>
      <x:c r="C15" s="154" t="str">
        <x:v>2026-06-18</x:v>
      </x:c>
      <x:c r="D15" s="154" t="str">
        <x:v>Arcova code audit</x:v>
      </x:c>
      <x:c r="E15" s="154" t="str">
        <x:v>/Users/emma/biosignals-gtm-2026/biosignals-app/lib/provider-usage.ts</x:v>
      </x:c>
      <x:c r="F15" s="155" t="str">
        <x:v>Validation is an additional call.</x:v>
      </x:c>
      <x:c r="G15" s="138"/>
      <x:c r="H15" s="138"/>
      <x:c r="I15" s="138"/>
      <x:c r="J15" s="138"/>
      <x:c r="K15" s="138"/>
      <x:c r="L15" s="138"/>
      <x:c r="M15" s="138"/>
      <x:c r="N15" s="138"/>
      <x:c r="O15" s="138"/>
      <x:c r="P15" s="138"/>
      <x:c r="Q15" s="138"/>
      <x:c r="R15" s="138"/>
      <x:c r="S15" s="138"/>
      <x:c r="T15" s="138"/>
      <x:c r="U15" s="138"/>
      <x:c r="V15" s="138"/>
      <x:c r="W15" s="138"/>
      <x:c r="X15" s="138"/>
      <x:c r="Y15" s="138"/>
      <x:c r="Z15" s="138"/>
    </x:row>
    <x:row r="16">
      <x:c r="A16" s="147" t="str">
        <x:v>Pricing and entitlement decisions</x:v>
      </x:c>
      <x:c r="B16" s="159" t="str">
        <x:v>Free / Starter / Growth specification</x:v>
      </x:c>
      <x:c r="C16" s="159" t="str">
        <x:v>2026-06-18</x:v>
      </x:c>
      <x:c r="D16" s="159" t="str">
        <x:v>Arcova working decision</x:v>
      </x:c>
      <x:c r="E16" s="159" t="str">
        <x:v>/Users/emma/biosignals-gtm-2026/biosignals-app/strategy/pricing/ARCOVA_PRICING_AND_CREDIT_SPEC.md</x:v>
      </x:c>
      <x:c r="F16" s="149" t="str">
        <x:v>Detailed customer journey, caps, rollover and implementation rules.</x:v>
      </x:c>
      <x:c r="G16" s="138"/>
      <x:c r="H16" s="138"/>
      <x:c r="I16" s="138"/>
      <x:c r="J16" s="138"/>
      <x:c r="K16" s="138"/>
      <x:c r="L16" s="138"/>
      <x:c r="M16" s="138"/>
      <x:c r="N16" s="138"/>
      <x:c r="O16" s="138"/>
      <x:c r="P16" s="138"/>
      <x:c r="Q16" s="138"/>
      <x:c r="R16" s="138"/>
      <x:c r="S16" s="138"/>
      <x:c r="T16" s="138"/>
      <x:c r="U16" s="138"/>
      <x:c r="V16" s="138"/>
      <x:c r="W16" s="138"/>
      <x:c r="X16" s="138"/>
      <x:c r="Y16" s="138"/>
      <x:c r="Z16" s="138"/>
    </x:row>
    <x:row r="17" ht="58" customHeight="1">
      <x:c r="A17" s="233" t="str">
        <x:v>Non-provider contribution-cost allowances</x:v>
      </x:c>
      <x:c r="B17" s="233" t="str">
        <x:v>$1 Free / $18 Starter / $41 Growth per workspace-month</x:v>
      </x:c>
      <x:c r="C17" s="233" t="str">
        <x:v>2026-06-18</x:v>
      </x:c>
      <x:c r="D17" s="233" t="str">
        <x:v>Provisional analyst assumption</x:v>
      </x:c>
      <x:c r="E17" s="233" t="str">
        <x:v>Assumptions!A36:G40</x:v>
      </x:c>
      <x:c r="F17" s="233" t="str">
        <x:v>Unsourced planning placeholders. Intended for variable infrastructure not otherwise captured; exclude payment fees, support, fixed overhead and separately unmodeled account-monitoring COGS. Replace with telemetry.</x:v>
      </x:c>
      <x:c r="G17" s="138"/>
      <x:c r="H17" s="138"/>
      <x:c r="I17" s="138"/>
      <x:c r="J17" s="138"/>
      <x:c r="K17" s="138"/>
      <x:c r="L17" s="138"/>
      <x:c r="M17" s="138"/>
      <x:c r="N17" s="138"/>
      <x:c r="O17" s="138"/>
      <x:c r="P17" s="138"/>
      <x:c r="Q17" s="138"/>
      <x:c r="R17" s="138"/>
      <x:c r="S17" s="138"/>
      <x:c r="T17" s="138"/>
      <x:c r="U17" s="138"/>
      <x:c r="V17" s="138"/>
      <x:c r="W17" s="138"/>
      <x:c r="X17" s="138"/>
      <x:c r="Y17" s="138"/>
      <x:c r="Z17" s="138"/>
    </x:row>
    <x:row r="18">
      <x:c r="A18" s="138"/>
      <x:c r="B18" s="138"/>
      <x:c r="C18" s="138"/>
      <x:c r="D18" s="138"/>
      <x:c r="E18" s="138"/>
      <x:c r="F18" s="138"/>
      <x:c r="G18" s="138"/>
      <x:c r="H18" s="138"/>
      <x:c r="I18" s="138"/>
      <x:c r="J18" s="138"/>
      <x:c r="K18" s="138"/>
      <x:c r="L18" s="138"/>
      <x:c r="M18" s="138"/>
      <x:c r="N18" s="138"/>
      <x:c r="O18" s="138"/>
      <x:c r="P18" s="138"/>
      <x:c r="Q18" s="138"/>
      <x:c r="R18" s="138"/>
      <x:c r="S18" s="138"/>
      <x:c r="T18" s="138"/>
      <x:c r="U18" s="138"/>
      <x:c r="V18" s="138"/>
      <x:c r="W18" s="138"/>
      <x:c r="X18" s="138"/>
      <x:c r="Y18" s="138"/>
      <x:c r="Z18" s="138"/>
    </x:row>
    <x:row r="19">
      <x:c r="A19" s="138"/>
      <x:c r="B19" s="138"/>
      <x:c r="C19" s="138"/>
      <x:c r="D19" s="138"/>
      <x:c r="E19" s="138"/>
      <x:c r="F19" s="138"/>
      <x:c r="G19" s="138"/>
      <x:c r="H19" s="138"/>
      <x:c r="I19" s="138"/>
      <x:c r="J19" s="138"/>
      <x:c r="K19" s="138"/>
      <x:c r="L19" s="138"/>
      <x:c r="M19" s="138"/>
      <x:c r="N19" s="138"/>
      <x:c r="O19" s="138"/>
      <x:c r="P19" s="138"/>
      <x:c r="Q19" s="138"/>
      <x:c r="R19" s="138"/>
      <x:c r="S19" s="138"/>
      <x:c r="T19" s="138"/>
      <x:c r="U19" s="138"/>
      <x:c r="V19" s="138"/>
      <x:c r="W19" s="138"/>
      <x:c r="X19" s="138"/>
      <x:c r="Y19" s="138"/>
      <x:c r="Z19" s="138"/>
    </x:row>
    <x:row r="20">
      <x:c r="A20" s="138"/>
      <x:c r="B20" s="138"/>
      <x:c r="C20" s="138"/>
      <x:c r="D20" s="138"/>
      <x:c r="E20" s="138"/>
      <x:c r="F20" s="138"/>
      <x:c r="G20" s="138"/>
      <x:c r="H20" s="138"/>
      <x:c r="I20" s="138"/>
      <x:c r="J20" s="138"/>
      <x:c r="K20" s="138"/>
      <x:c r="L20" s="138"/>
      <x:c r="M20" s="138"/>
      <x:c r="N20" s="138"/>
      <x:c r="O20" s="138"/>
      <x:c r="P20" s="138"/>
      <x:c r="Q20" s="138"/>
      <x:c r="R20" s="138"/>
      <x:c r="S20" s="138"/>
      <x:c r="T20" s="138"/>
      <x:c r="U20" s="138"/>
      <x:c r="V20" s="138"/>
      <x:c r="W20" s="138"/>
      <x:c r="X20" s="138"/>
      <x:c r="Y20" s="138"/>
      <x:c r="Z20" s="138"/>
    </x:row>
    <x:row r="21">
      <x:c r="A21" s="138"/>
      <x:c r="B21" s="138"/>
      <x:c r="C21" s="138"/>
      <x:c r="D21" s="138"/>
      <x:c r="E21" s="138"/>
      <x:c r="F21" s="138"/>
      <x:c r="G21" s="138"/>
      <x:c r="H21" s="138"/>
      <x:c r="I21" s="138"/>
      <x:c r="J21" s="138"/>
      <x:c r="K21" s="138"/>
      <x:c r="L21" s="138"/>
      <x:c r="M21" s="138"/>
      <x:c r="N21" s="138"/>
      <x:c r="O21" s="138"/>
      <x:c r="P21" s="138"/>
      <x:c r="Q21" s="138"/>
      <x:c r="R21" s="138"/>
      <x:c r="S21" s="138"/>
      <x:c r="T21" s="138"/>
      <x:c r="U21" s="138"/>
      <x:c r="V21" s="138"/>
      <x:c r="W21" s="138"/>
      <x:c r="X21" s="138"/>
      <x:c r="Y21" s="138"/>
      <x:c r="Z21" s="138"/>
    </x:row>
    <x:row r="22">
      <x:c r="A22" s="138"/>
      <x:c r="B22" s="138"/>
      <x:c r="C22" s="138"/>
      <x:c r="D22" s="138"/>
      <x:c r="E22" s="138"/>
      <x:c r="F22" s="138"/>
      <x:c r="G22" s="138"/>
      <x:c r="H22" s="138"/>
      <x:c r="I22" s="138"/>
      <x:c r="J22" s="138"/>
      <x:c r="K22" s="138"/>
      <x:c r="L22" s="138"/>
      <x:c r="M22" s="138"/>
      <x:c r="N22" s="138"/>
      <x:c r="O22" s="138"/>
      <x:c r="P22" s="138"/>
      <x:c r="Q22" s="138"/>
      <x:c r="R22" s="138"/>
      <x:c r="S22" s="138"/>
      <x:c r="T22" s="138"/>
      <x:c r="U22" s="138"/>
      <x:c r="V22" s="138"/>
      <x:c r="W22" s="138"/>
      <x:c r="X22" s="138"/>
      <x:c r="Y22" s="138"/>
      <x:c r="Z22" s="138"/>
    </x:row>
    <x:row r="23">
      <x:c r="A23" s="138"/>
      <x:c r="B23" s="138"/>
      <x:c r="C23" s="138"/>
      <x:c r="D23" s="138"/>
      <x:c r="E23" s="138"/>
      <x:c r="F23" s="138"/>
      <x:c r="G23" s="138"/>
      <x:c r="H23" s="138"/>
      <x:c r="I23" s="138"/>
      <x:c r="J23" s="138"/>
      <x:c r="K23" s="138"/>
      <x:c r="L23" s="138"/>
      <x:c r="M23" s="138"/>
      <x:c r="N23" s="138"/>
      <x:c r="O23" s="138"/>
      <x:c r="P23" s="138"/>
      <x:c r="Q23" s="138"/>
      <x:c r="R23" s="138"/>
      <x:c r="S23" s="138"/>
      <x:c r="T23" s="138"/>
      <x:c r="U23" s="138"/>
      <x:c r="V23" s="138"/>
      <x:c r="W23" s="138"/>
      <x:c r="X23" s="138"/>
      <x:c r="Y23" s="138"/>
      <x:c r="Z23" s="138"/>
    </x:row>
    <x:row r="24">
      <x:c r="A24" s="138"/>
      <x:c r="B24" s="138"/>
      <x:c r="C24" s="138"/>
      <x:c r="D24" s="138"/>
      <x:c r="E24" s="138"/>
      <x:c r="F24" s="138"/>
      <x:c r="G24" s="138"/>
      <x:c r="H24" s="138"/>
      <x:c r="I24" s="138"/>
      <x:c r="J24" s="138"/>
      <x:c r="K24" s="138"/>
      <x:c r="L24" s="138"/>
      <x:c r="M24" s="138"/>
      <x:c r="N24" s="138"/>
      <x:c r="O24" s="138"/>
      <x:c r="P24" s="138"/>
      <x:c r="Q24" s="138"/>
      <x:c r="R24" s="138"/>
      <x:c r="S24" s="138"/>
      <x:c r="T24" s="138"/>
      <x:c r="U24" s="138"/>
      <x:c r="V24" s="138"/>
      <x:c r="W24" s="138"/>
      <x:c r="X24" s="138"/>
      <x:c r="Y24" s="138"/>
      <x:c r="Z24" s="138"/>
    </x:row>
    <x:row r="25">
      <x:c r="A25" s="138"/>
      <x:c r="B25" s="138"/>
      <x:c r="C25" s="138"/>
      <x:c r="D25" s="138"/>
      <x:c r="E25" s="138"/>
      <x:c r="F25" s="138"/>
      <x:c r="G25" s="138"/>
      <x:c r="H25" s="138"/>
      <x:c r="I25" s="138"/>
      <x:c r="J25" s="138"/>
      <x:c r="K25" s="138"/>
      <x:c r="L25" s="138"/>
      <x:c r="M25" s="138"/>
      <x:c r="N25" s="138"/>
      <x:c r="O25" s="138"/>
      <x:c r="P25" s="138"/>
      <x:c r="Q25" s="138"/>
      <x:c r="R25" s="138"/>
      <x:c r="S25" s="138"/>
      <x:c r="T25" s="138"/>
      <x:c r="U25" s="138"/>
      <x:c r="V25" s="138"/>
      <x:c r="W25" s="138"/>
      <x:c r="X25" s="138"/>
      <x:c r="Y25" s="138"/>
      <x:c r="Z25" s="138"/>
    </x:row>
    <x:row r="26">
      <x:c r="A26" s="138"/>
      <x:c r="B26" s="138"/>
      <x:c r="C26" s="138"/>
      <x:c r="D26" s="138"/>
      <x:c r="E26" s="138"/>
      <x:c r="F26" s="138"/>
      <x:c r="G26" s="138"/>
      <x:c r="H26" s="138"/>
      <x:c r="I26" s="138"/>
      <x:c r="J26" s="138"/>
      <x:c r="K26" s="138"/>
      <x:c r="L26" s="138"/>
      <x:c r="M26" s="138"/>
      <x:c r="N26" s="138"/>
      <x:c r="O26" s="138"/>
      <x:c r="P26" s="138"/>
      <x:c r="Q26" s="138"/>
      <x:c r="R26" s="138"/>
      <x:c r="S26" s="138"/>
      <x:c r="T26" s="138"/>
      <x:c r="U26" s="138"/>
      <x:c r="V26" s="138"/>
      <x:c r="W26" s="138"/>
      <x:c r="X26" s="138"/>
      <x:c r="Y26" s="138"/>
      <x:c r="Z26" s="138"/>
    </x:row>
    <x:row r="27">
      <x:c r="A27" s="138"/>
      <x:c r="B27" s="138"/>
      <x:c r="C27" s="138"/>
      <x:c r="D27" s="138"/>
      <x:c r="E27" s="138"/>
      <x:c r="F27" s="138"/>
      <x:c r="G27" s="138"/>
      <x:c r="H27" s="138"/>
      <x:c r="I27" s="138"/>
      <x:c r="J27" s="138"/>
      <x:c r="K27" s="138"/>
      <x:c r="L27" s="138"/>
      <x:c r="M27" s="138"/>
      <x:c r="N27" s="138"/>
      <x:c r="O27" s="138"/>
      <x:c r="P27" s="138"/>
      <x:c r="Q27" s="138"/>
      <x:c r="R27" s="138"/>
      <x:c r="S27" s="138"/>
      <x:c r="T27" s="138"/>
      <x:c r="U27" s="138"/>
      <x:c r="V27" s="138"/>
      <x:c r="W27" s="138"/>
      <x:c r="X27" s="138"/>
      <x:c r="Y27" s="138"/>
      <x:c r="Z27" s="138"/>
    </x:row>
    <x:row r="28">
      <x:c r="A28" s="138"/>
      <x:c r="B28" s="138"/>
      <x:c r="C28" s="138"/>
      <x:c r="D28" s="138"/>
      <x:c r="E28" s="138"/>
      <x:c r="F28" s="138"/>
      <x:c r="G28" s="138"/>
      <x:c r="H28" s="138"/>
      <x:c r="I28" s="138"/>
      <x:c r="J28" s="138"/>
      <x:c r="K28" s="138"/>
      <x:c r="L28" s="138"/>
      <x:c r="M28" s="138"/>
      <x:c r="N28" s="138"/>
      <x:c r="O28" s="138"/>
      <x:c r="P28" s="138"/>
      <x:c r="Q28" s="138"/>
      <x:c r="R28" s="138"/>
      <x:c r="S28" s="138"/>
      <x:c r="T28" s="138"/>
      <x:c r="U28" s="138"/>
      <x:c r="V28" s="138"/>
      <x:c r="W28" s="138"/>
      <x:c r="X28" s="138"/>
      <x:c r="Y28" s="138"/>
      <x:c r="Z28" s="138"/>
    </x:row>
    <x:row r="29">
      <x:c r="A29" s="138"/>
      <x:c r="B29" s="138"/>
      <x:c r="C29" s="138"/>
      <x:c r="D29" s="138"/>
      <x:c r="E29" s="138"/>
      <x:c r="F29" s="138"/>
      <x:c r="G29" s="138"/>
      <x:c r="H29" s="138"/>
      <x:c r="I29" s="138"/>
      <x:c r="J29" s="138"/>
      <x:c r="K29" s="138"/>
      <x:c r="L29" s="138"/>
      <x:c r="M29" s="138"/>
      <x:c r="N29" s="138"/>
      <x:c r="O29" s="138"/>
      <x:c r="P29" s="138"/>
      <x:c r="Q29" s="138"/>
      <x:c r="R29" s="138"/>
      <x:c r="S29" s="138"/>
      <x:c r="T29" s="138"/>
      <x:c r="U29" s="138"/>
      <x:c r="V29" s="138"/>
      <x:c r="W29" s="138"/>
      <x:c r="X29" s="138"/>
      <x:c r="Y29" s="138"/>
      <x:c r="Z29" s="138"/>
    </x:row>
    <x:row r="30">
      <x:c r="A30" s="138"/>
      <x:c r="B30" s="138"/>
      <x:c r="C30" s="138"/>
      <x:c r="D30" s="138"/>
      <x:c r="E30" s="138"/>
      <x:c r="F30" s="138"/>
      <x:c r="G30" s="138"/>
      <x:c r="H30" s="138"/>
      <x:c r="I30" s="138"/>
      <x:c r="J30" s="138"/>
      <x:c r="K30" s="138"/>
      <x:c r="L30" s="138"/>
      <x:c r="M30" s="138"/>
      <x:c r="N30" s="138"/>
      <x:c r="O30" s="138"/>
      <x:c r="P30" s="138"/>
      <x:c r="Q30" s="138"/>
      <x:c r="R30" s="138"/>
      <x:c r="S30" s="138"/>
      <x:c r="T30" s="138"/>
      <x:c r="U30" s="138"/>
      <x:c r="V30" s="138"/>
      <x:c r="W30" s="138"/>
      <x:c r="X30" s="138"/>
      <x:c r="Y30" s="138"/>
      <x:c r="Z30" s="138"/>
    </x:row>
    <x:row r="31">
      <x:c r="A31" s="138"/>
      <x:c r="B31" s="138"/>
      <x:c r="C31" s="138"/>
      <x:c r="D31" s="138"/>
      <x:c r="E31" s="138"/>
      <x:c r="F31" s="138"/>
      <x:c r="G31" s="138"/>
      <x:c r="H31" s="138"/>
      <x:c r="I31" s="138"/>
      <x:c r="J31" s="138"/>
      <x:c r="K31" s="138"/>
      <x:c r="L31" s="138"/>
      <x:c r="M31" s="138"/>
      <x:c r="N31" s="138"/>
      <x:c r="O31" s="138"/>
      <x:c r="P31" s="138"/>
      <x:c r="Q31" s="138"/>
      <x:c r="R31" s="138"/>
      <x:c r="S31" s="138"/>
      <x:c r="T31" s="138"/>
      <x:c r="U31" s="138"/>
      <x:c r="V31" s="138"/>
      <x:c r="W31" s="138"/>
      <x:c r="X31" s="138"/>
      <x:c r="Y31" s="138"/>
      <x:c r="Z31" s="138"/>
    </x:row>
    <x:row r="32">
      <x:c r="A32" s="138"/>
      <x:c r="B32" s="138"/>
      <x:c r="C32" s="138"/>
      <x:c r="D32" s="138"/>
      <x:c r="E32" s="138"/>
      <x:c r="F32" s="138"/>
      <x:c r="G32" s="138"/>
      <x:c r="H32" s="138"/>
      <x:c r="I32" s="138"/>
      <x:c r="J32" s="138"/>
      <x:c r="K32" s="138"/>
      <x:c r="L32" s="138"/>
      <x:c r="M32" s="138"/>
      <x:c r="N32" s="138"/>
      <x:c r="O32" s="138"/>
      <x:c r="P32" s="138"/>
      <x:c r="Q32" s="138"/>
      <x:c r="R32" s="138"/>
      <x:c r="S32" s="138"/>
      <x:c r="T32" s="138"/>
      <x:c r="U32" s="138"/>
      <x:c r="V32" s="138"/>
      <x:c r="W32" s="138"/>
      <x:c r="X32" s="138"/>
      <x:c r="Y32" s="138"/>
      <x:c r="Z32" s="138"/>
    </x:row>
    <x:row r="33">
      <x:c r="A33" s="138"/>
      <x:c r="B33" s="138"/>
      <x:c r="C33" s="138"/>
      <x:c r="D33" s="138"/>
      <x:c r="E33" s="138"/>
      <x:c r="F33" s="138"/>
      <x:c r="G33" s="138"/>
      <x:c r="H33" s="138"/>
      <x:c r="I33" s="138"/>
      <x:c r="J33" s="138"/>
      <x:c r="K33" s="138"/>
      <x:c r="L33" s="138"/>
      <x:c r="M33" s="138"/>
      <x:c r="N33" s="138"/>
      <x:c r="O33" s="138"/>
      <x:c r="P33" s="138"/>
      <x:c r="Q33" s="138"/>
      <x:c r="R33" s="138"/>
      <x:c r="S33" s="138"/>
      <x:c r="T33" s="138"/>
      <x:c r="U33" s="138"/>
      <x:c r="V33" s="138"/>
      <x:c r="W33" s="138"/>
      <x:c r="X33" s="138"/>
      <x:c r="Y33" s="138"/>
      <x:c r="Z33" s="138"/>
    </x:row>
    <x:row r="34">
      <x:c r="A34" s="138"/>
      <x:c r="B34" s="138"/>
      <x:c r="C34" s="138"/>
      <x:c r="D34" s="138"/>
      <x:c r="E34" s="138"/>
      <x:c r="F34" s="138"/>
      <x:c r="G34" s="138"/>
      <x:c r="H34" s="138"/>
      <x:c r="I34" s="138"/>
      <x:c r="J34" s="138"/>
      <x:c r="K34" s="138"/>
      <x:c r="L34" s="138"/>
      <x:c r="M34" s="138"/>
      <x:c r="N34" s="138"/>
      <x:c r="O34" s="138"/>
      <x:c r="P34" s="138"/>
      <x:c r="Q34" s="138"/>
      <x:c r="R34" s="138"/>
      <x:c r="S34" s="138"/>
      <x:c r="T34" s="138"/>
      <x:c r="U34" s="138"/>
      <x:c r="V34" s="138"/>
      <x:c r="W34" s="138"/>
      <x:c r="X34" s="138"/>
      <x:c r="Y34" s="138"/>
      <x:c r="Z34" s="138"/>
    </x:row>
    <x:row r="35">
      <x:c r="A35" s="138"/>
      <x:c r="B35" s="138"/>
      <x:c r="C35" s="138"/>
      <x:c r="D35" s="138"/>
      <x:c r="E35" s="138"/>
      <x:c r="F35" s="138"/>
      <x:c r="G35" s="138"/>
      <x:c r="H35" s="138"/>
      <x:c r="I35" s="138"/>
      <x:c r="J35" s="138"/>
      <x:c r="K35" s="138"/>
      <x:c r="L35" s="138"/>
      <x:c r="M35" s="138"/>
      <x:c r="N35" s="138"/>
      <x:c r="O35" s="138"/>
      <x:c r="P35" s="138"/>
      <x:c r="Q35" s="138"/>
      <x:c r="R35" s="138"/>
      <x:c r="S35" s="138"/>
      <x:c r="T35" s="138"/>
      <x:c r="U35" s="138"/>
      <x:c r="V35" s="138"/>
      <x:c r="W35" s="138"/>
      <x:c r="X35" s="138"/>
      <x:c r="Y35" s="138"/>
      <x:c r="Z35" s="138"/>
    </x:row>
    <x:row r="36">
      <x:c r="A36" s="138"/>
      <x:c r="B36" s="138"/>
      <x:c r="C36" s="138"/>
      <x:c r="D36" s="138"/>
      <x:c r="E36" s="138"/>
      <x:c r="F36" s="138"/>
      <x:c r="G36" s="138"/>
      <x:c r="H36" s="138"/>
      <x:c r="I36" s="138"/>
      <x:c r="J36" s="138"/>
      <x:c r="K36" s="138"/>
      <x:c r="L36" s="138"/>
      <x:c r="M36" s="138"/>
      <x:c r="N36" s="138"/>
      <x:c r="O36" s="138"/>
      <x:c r="P36" s="138"/>
      <x:c r="Q36" s="138"/>
      <x:c r="R36" s="138"/>
      <x:c r="S36" s="138"/>
      <x:c r="T36" s="138"/>
      <x:c r="U36" s="138"/>
      <x:c r="V36" s="138"/>
      <x:c r="W36" s="138"/>
      <x:c r="X36" s="138"/>
      <x:c r="Y36" s="138"/>
      <x:c r="Z36" s="138"/>
    </x:row>
    <x:row r="37">
      <x:c r="A37" s="138"/>
      <x:c r="B37" s="138"/>
      <x:c r="C37" s="138"/>
      <x:c r="D37" s="138"/>
      <x:c r="E37" s="138"/>
      <x:c r="F37" s="138"/>
      <x:c r="G37" s="138"/>
      <x:c r="H37" s="138"/>
      <x:c r="I37" s="138"/>
      <x:c r="J37" s="138"/>
      <x:c r="K37" s="138"/>
      <x:c r="L37" s="138"/>
      <x:c r="M37" s="138"/>
      <x:c r="N37" s="138"/>
      <x:c r="O37" s="138"/>
      <x:c r="P37" s="138"/>
      <x:c r="Q37" s="138"/>
      <x:c r="R37" s="138"/>
      <x:c r="S37" s="138"/>
      <x:c r="T37" s="138"/>
      <x:c r="U37" s="138"/>
      <x:c r="V37" s="138"/>
      <x:c r="W37" s="138"/>
      <x:c r="X37" s="138"/>
      <x:c r="Y37" s="138"/>
      <x:c r="Z37" s="138"/>
    </x:row>
    <x:row r="38">
      <x:c r="A38" s="138"/>
      <x:c r="B38" s="138"/>
      <x:c r="C38" s="138"/>
      <x:c r="D38" s="138"/>
      <x:c r="E38" s="138"/>
      <x:c r="F38" s="138"/>
      <x:c r="G38" s="138"/>
      <x:c r="H38" s="138"/>
      <x:c r="I38" s="138"/>
      <x:c r="J38" s="138"/>
      <x:c r="K38" s="138"/>
      <x:c r="L38" s="138"/>
      <x:c r="M38" s="138"/>
      <x:c r="N38" s="138"/>
      <x:c r="O38" s="138"/>
      <x:c r="P38" s="138"/>
      <x:c r="Q38" s="138"/>
      <x:c r="R38" s="138"/>
      <x:c r="S38" s="138"/>
      <x:c r="T38" s="138"/>
      <x:c r="U38" s="138"/>
      <x:c r="V38" s="138"/>
      <x:c r="W38" s="138"/>
      <x:c r="X38" s="138"/>
      <x:c r="Y38" s="138"/>
      <x:c r="Z38" s="138"/>
    </x:row>
    <x:row r="39">
      <x:c r="A39" s="138"/>
      <x:c r="B39" s="138"/>
      <x:c r="C39" s="138"/>
      <x:c r="D39" s="138"/>
      <x:c r="E39" s="138"/>
      <x:c r="F39" s="138"/>
      <x:c r="G39" s="138"/>
      <x:c r="H39" s="138"/>
      <x:c r="I39" s="138"/>
      <x:c r="J39" s="138"/>
      <x:c r="K39" s="138"/>
      <x:c r="L39" s="138"/>
      <x:c r="M39" s="138"/>
      <x:c r="N39" s="138"/>
      <x:c r="O39" s="138"/>
      <x:c r="P39" s="138"/>
      <x:c r="Q39" s="138"/>
      <x:c r="R39" s="138"/>
      <x:c r="S39" s="138"/>
      <x:c r="T39" s="138"/>
      <x:c r="U39" s="138"/>
      <x:c r="V39" s="138"/>
      <x:c r="W39" s="138"/>
      <x:c r="X39" s="138"/>
      <x:c r="Y39" s="138"/>
      <x:c r="Z39" s="138"/>
    </x:row>
    <x:row r="40">
      <x:c r="A40" s="138"/>
      <x:c r="B40" s="138"/>
      <x:c r="C40" s="138"/>
      <x:c r="D40" s="138"/>
      <x:c r="E40" s="138"/>
      <x:c r="F40" s="138"/>
      <x:c r="G40" s="138"/>
      <x:c r="H40" s="138"/>
      <x:c r="I40" s="138"/>
      <x:c r="J40" s="138"/>
      <x:c r="K40" s="138"/>
      <x:c r="L40" s="138"/>
      <x:c r="M40" s="138"/>
      <x:c r="N40" s="138"/>
      <x:c r="O40" s="138"/>
      <x:c r="P40" s="138"/>
      <x:c r="Q40" s="138"/>
      <x:c r="R40" s="138"/>
      <x:c r="S40" s="138"/>
      <x:c r="T40" s="138"/>
      <x:c r="U40" s="138"/>
      <x:c r="V40" s="138"/>
      <x:c r="W40" s="138"/>
      <x:c r="X40" s="138"/>
      <x:c r="Y40" s="138"/>
      <x:c r="Z40" s="138"/>
    </x:row>
    <x:row r="41">
      <x:c r="A41" s="138"/>
      <x:c r="B41" s="138"/>
      <x:c r="C41" s="138"/>
      <x:c r="D41" s="138"/>
      <x:c r="E41" s="138"/>
      <x:c r="F41" s="138"/>
      <x:c r="G41" s="138"/>
      <x:c r="H41" s="138"/>
      <x:c r="I41" s="138"/>
      <x:c r="J41" s="138"/>
      <x:c r="K41" s="138"/>
      <x:c r="L41" s="138"/>
      <x:c r="M41" s="138"/>
      <x:c r="N41" s="138"/>
      <x:c r="O41" s="138"/>
      <x:c r="P41" s="138"/>
      <x:c r="Q41" s="138"/>
      <x:c r="R41" s="138"/>
      <x:c r="S41" s="138"/>
      <x:c r="T41" s="138"/>
      <x:c r="U41" s="138"/>
      <x:c r="V41" s="138"/>
      <x:c r="W41" s="138"/>
      <x:c r="X41" s="138"/>
      <x:c r="Y41" s="138"/>
      <x:c r="Z41" s="138"/>
    </x:row>
    <x:row r="42">
      <x:c r="A42" s="138"/>
      <x:c r="B42" s="138"/>
      <x:c r="C42" s="138"/>
      <x:c r="D42" s="138"/>
      <x:c r="E42" s="138"/>
      <x:c r="F42" s="138"/>
      <x:c r="G42" s="138"/>
      <x:c r="H42" s="138"/>
      <x:c r="I42" s="138"/>
      <x:c r="J42" s="138"/>
      <x:c r="K42" s="138"/>
      <x:c r="L42" s="138"/>
      <x:c r="M42" s="138"/>
      <x:c r="N42" s="138"/>
      <x:c r="O42" s="138"/>
      <x:c r="P42" s="138"/>
      <x:c r="Q42" s="138"/>
      <x:c r="R42" s="138"/>
      <x:c r="S42" s="138"/>
      <x:c r="T42" s="138"/>
      <x:c r="U42" s="138"/>
      <x:c r="V42" s="138"/>
      <x:c r="W42" s="138"/>
      <x:c r="X42" s="138"/>
      <x:c r="Y42" s="138"/>
      <x:c r="Z42" s="138"/>
    </x:row>
    <x:row r="43">
      <x:c r="A43" s="138"/>
      <x:c r="B43" s="138"/>
      <x:c r="C43" s="138"/>
      <x:c r="D43" s="138"/>
      <x:c r="E43" s="138"/>
      <x:c r="F43" s="138"/>
      <x:c r="G43" s="138"/>
      <x:c r="H43" s="138"/>
      <x:c r="I43" s="138"/>
      <x:c r="J43" s="138"/>
      <x:c r="K43" s="138"/>
      <x:c r="L43" s="138"/>
      <x:c r="M43" s="138"/>
      <x:c r="N43" s="138"/>
      <x:c r="O43" s="138"/>
      <x:c r="P43" s="138"/>
      <x:c r="Q43" s="138"/>
      <x:c r="R43" s="138"/>
      <x:c r="S43" s="138"/>
      <x:c r="T43" s="138"/>
      <x:c r="U43" s="138"/>
      <x:c r="V43" s="138"/>
      <x:c r="W43" s="138"/>
      <x:c r="X43" s="138"/>
      <x:c r="Y43" s="138"/>
      <x:c r="Z43" s="138"/>
    </x:row>
    <x:row r="44">
      <x:c r="A44" s="138"/>
      <x:c r="B44" s="138"/>
      <x:c r="C44" s="138"/>
      <x:c r="D44" s="138"/>
      <x:c r="E44" s="138"/>
      <x:c r="F44" s="138"/>
      <x:c r="G44" s="138"/>
      <x:c r="H44" s="138"/>
      <x:c r="I44" s="138"/>
      <x:c r="J44" s="138"/>
      <x:c r="K44" s="138"/>
      <x:c r="L44" s="138"/>
      <x:c r="M44" s="138"/>
      <x:c r="N44" s="138"/>
      <x:c r="O44" s="138"/>
      <x:c r="P44" s="138"/>
      <x:c r="Q44" s="138"/>
      <x:c r="R44" s="138"/>
      <x:c r="S44" s="138"/>
      <x:c r="T44" s="138"/>
      <x:c r="U44" s="138"/>
      <x:c r="V44" s="138"/>
      <x:c r="W44" s="138"/>
      <x:c r="X44" s="138"/>
      <x:c r="Y44" s="138"/>
      <x:c r="Z44" s="138"/>
    </x:row>
    <x:row r="45">
      <x:c r="A45" s="138"/>
      <x:c r="B45" s="138"/>
      <x:c r="C45" s="138"/>
      <x:c r="D45" s="138"/>
      <x:c r="E45" s="138"/>
      <x:c r="F45" s="138"/>
      <x:c r="G45" s="138"/>
      <x:c r="H45" s="138"/>
      <x:c r="I45" s="138"/>
      <x:c r="J45" s="138"/>
      <x:c r="K45" s="138"/>
      <x:c r="L45" s="138"/>
      <x:c r="M45" s="138"/>
      <x:c r="N45" s="138"/>
      <x:c r="O45" s="138"/>
      <x:c r="P45" s="138"/>
      <x:c r="Q45" s="138"/>
      <x:c r="R45" s="138"/>
      <x:c r="S45" s="138"/>
      <x:c r="T45" s="138"/>
      <x:c r="U45" s="138"/>
      <x:c r="V45" s="138"/>
      <x:c r="W45" s="138"/>
      <x:c r="X45" s="138"/>
      <x:c r="Y45" s="138"/>
      <x:c r="Z45" s="138"/>
    </x:row>
    <x:row r="46">
      <x:c r="A46" s="138"/>
      <x:c r="B46" s="138"/>
      <x:c r="C46" s="138"/>
      <x:c r="D46" s="138"/>
      <x:c r="E46" s="138"/>
      <x:c r="F46" s="138"/>
      <x:c r="G46" s="138"/>
      <x:c r="H46" s="138"/>
      <x:c r="I46" s="138"/>
      <x:c r="J46" s="138"/>
      <x:c r="K46" s="138"/>
      <x:c r="L46" s="138"/>
      <x:c r="M46" s="138"/>
      <x:c r="N46" s="138"/>
      <x:c r="O46" s="138"/>
      <x:c r="P46" s="138"/>
      <x:c r="Q46" s="138"/>
      <x:c r="R46" s="138"/>
      <x:c r="S46" s="138"/>
      <x:c r="T46" s="138"/>
      <x:c r="U46" s="138"/>
      <x:c r="V46" s="138"/>
      <x:c r="W46" s="138"/>
      <x:c r="X46" s="138"/>
      <x:c r="Y46" s="138"/>
      <x:c r="Z46" s="138"/>
    </x:row>
    <x:row r="47">
      <x:c r="A47" s="138"/>
      <x:c r="B47" s="138"/>
      <x:c r="C47" s="138"/>
      <x:c r="D47" s="138"/>
      <x:c r="E47" s="138"/>
      <x:c r="F47" s="138"/>
      <x:c r="G47" s="138"/>
      <x:c r="H47" s="138"/>
      <x:c r="I47" s="138"/>
      <x:c r="J47" s="138"/>
      <x:c r="K47" s="138"/>
      <x:c r="L47" s="138"/>
      <x:c r="M47" s="138"/>
      <x:c r="N47" s="138"/>
      <x:c r="O47" s="138"/>
      <x:c r="P47" s="138"/>
      <x:c r="Q47" s="138"/>
      <x:c r="R47" s="138"/>
      <x:c r="S47" s="138"/>
      <x:c r="T47" s="138"/>
      <x:c r="U47" s="138"/>
      <x:c r="V47" s="138"/>
      <x:c r="W47" s="138"/>
      <x:c r="X47" s="138"/>
      <x:c r="Y47" s="138"/>
      <x:c r="Z47" s="138"/>
    </x:row>
    <x:row r="48">
      <x:c r="A48" s="138"/>
      <x:c r="B48" s="138"/>
      <x:c r="C48" s="138"/>
      <x:c r="D48" s="138"/>
      <x:c r="E48" s="138"/>
      <x:c r="F48" s="138"/>
      <x:c r="G48" s="138"/>
      <x:c r="H48" s="138"/>
      <x:c r="I48" s="138"/>
      <x:c r="J48" s="138"/>
      <x:c r="K48" s="138"/>
      <x:c r="L48" s="138"/>
      <x:c r="M48" s="138"/>
      <x:c r="N48" s="138"/>
      <x:c r="O48" s="138"/>
      <x:c r="P48" s="138"/>
      <x:c r="Q48" s="138"/>
      <x:c r="R48" s="138"/>
      <x:c r="S48" s="138"/>
      <x:c r="T48" s="138"/>
      <x:c r="U48" s="138"/>
      <x:c r="V48" s="138"/>
      <x:c r="W48" s="138"/>
      <x:c r="X48" s="138"/>
      <x:c r="Y48" s="138"/>
      <x:c r="Z48" s="138"/>
    </x:row>
    <x:row r="49">
      <x:c r="A49" s="138"/>
      <x:c r="B49" s="138"/>
      <x:c r="C49" s="138"/>
      <x:c r="D49" s="138"/>
      <x:c r="E49" s="138"/>
      <x:c r="F49" s="138"/>
      <x:c r="G49" s="138"/>
      <x:c r="H49" s="138"/>
      <x:c r="I49" s="138"/>
      <x:c r="J49" s="138"/>
      <x:c r="K49" s="138"/>
      <x:c r="L49" s="138"/>
      <x:c r="M49" s="138"/>
      <x:c r="N49" s="138"/>
      <x:c r="O49" s="138"/>
      <x:c r="P49" s="138"/>
      <x:c r="Q49" s="138"/>
      <x:c r="R49" s="138"/>
      <x:c r="S49" s="138"/>
      <x:c r="T49" s="138"/>
      <x:c r="U49" s="138"/>
      <x:c r="V49" s="138"/>
      <x:c r="W49" s="138"/>
      <x:c r="X49" s="138"/>
      <x:c r="Y49" s="138"/>
      <x:c r="Z49" s="138"/>
    </x:row>
    <x:row r="50">
      <x:c r="A50" s="138"/>
      <x:c r="B50" s="138"/>
      <x:c r="C50" s="138"/>
      <x:c r="D50" s="138"/>
      <x:c r="E50" s="138"/>
      <x:c r="F50" s="138"/>
      <x:c r="G50" s="138"/>
      <x:c r="H50" s="138"/>
      <x:c r="I50" s="138"/>
      <x:c r="J50" s="138"/>
      <x:c r="K50" s="138"/>
      <x:c r="L50" s="138"/>
      <x:c r="M50" s="138"/>
      <x:c r="N50" s="138"/>
      <x:c r="O50" s="138"/>
      <x:c r="P50" s="138"/>
      <x:c r="Q50" s="138"/>
      <x:c r="R50" s="138"/>
      <x:c r="S50" s="138"/>
      <x:c r="T50" s="138"/>
      <x:c r="U50" s="138"/>
      <x:c r="V50" s="138"/>
      <x:c r="W50" s="138"/>
      <x:c r="X50" s="138"/>
      <x:c r="Y50" s="138"/>
      <x:c r="Z50" s="138"/>
    </x:row>
    <x:row r="51">
      <x:c r="A51" s="138"/>
      <x:c r="B51" s="138"/>
      <x:c r="C51" s="138"/>
      <x:c r="D51" s="138"/>
      <x:c r="E51" s="138"/>
      <x:c r="F51" s="138"/>
      <x:c r="G51" s="138"/>
      <x:c r="H51" s="138"/>
      <x:c r="I51" s="138"/>
      <x:c r="J51" s="138"/>
      <x:c r="K51" s="138"/>
      <x:c r="L51" s="138"/>
      <x:c r="M51" s="138"/>
      <x:c r="N51" s="138"/>
      <x:c r="O51" s="138"/>
      <x:c r="P51" s="138"/>
      <x:c r="Q51" s="138"/>
      <x:c r="R51" s="138"/>
      <x:c r="S51" s="138"/>
      <x:c r="T51" s="138"/>
      <x:c r="U51" s="138"/>
      <x:c r="V51" s="138"/>
      <x:c r="W51" s="138"/>
      <x:c r="X51" s="138"/>
      <x:c r="Y51" s="138"/>
      <x:c r="Z51" s="138"/>
    </x:row>
    <x:row r="52">
      <x:c r="A52" s="138"/>
      <x:c r="B52" s="138"/>
      <x:c r="C52" s="138"/>
      <x:c r="D52" s="138"/>
      <x:c r="E52" s="138"/>
      <x:c r="F52" s="138"/>
      <x:c r="G52" s="138"/>
      <x:c r="H52" s="138"/>
      <x:c r="I52" s="138"/>
      <x:c r="J52" s="138"/>
      <x:c r="K52" s="138"/>
      <x:c r="L52" s="138"/>
      <x:c r="M52" s="138"/>
      <x:c r="N52" s="138"/>
      <x:c r="O52" s="138"/>
      <x:c r="P52" s="138"/>
      <x:c r="Q52" s="138"/>
      <x:c r="R52" s="138"/>
      <x:c r="S52" s="138"/>
      <x:c r="T52" s="138"/>
      <x:c r="U52" s="138"/>
      <x:c r="V52" s="138"/>
      <x:c r="W52" s="138"/>
      <x:c r="X52" s="138"/>
      <x:c r="Y52" s="138"/>
      <x:c r="Z52" s="138"/>
    </x:row>
    <x:row r="53">
      <x:c r="A53" s="138"/>
      <x:c r="B53" s="138"/>
      <x:c r="C53" s="138"/>
      <x:c r="D53" s="138"/>
      <x:c r="E53" s="138"/>
      <x:c r="F53" s="138"/>
      <x:c r="G53" s="138"/>
      <x:c r="H53" s="138"/>
      <x:c r="I53" s="138"/>
      <x:c r="J53" s="138"/>
      <x:c r="K53" s="138"/>
      <x:c r="L53" s="138"/>
      <x:c r="M53" s="138"/>
      <x:c r="N53" s="138"/>
      <x:c r="O53" s="138"/>
      <x:c r="P53" s="138"/>
      <x:c r="Q53" s="138"/>
      <x:c r="R53" s="138"/>
      <x:c r="S53" s="138"/>
      <x:c r="T53" s="138"/>
      <x:c r="U53" s="138"/>
      <x:c r="V53" s="138"/>
      <x:c r="W53" s="138"/>
      <x:c r="X53" s="138"/>
      <x:c r="Y53" s="138"/>
      <x:c r="Z53" s="138"/>
    </x:row>
    <x:row r="54">
      <x:c r="A54" s="138"/>
      <x:c r="B54" s="138"/>
      <x:c r="C54" s="138"/>
      <x:c r="D54" s="138"/>
      <x:c r="E54" s="138"/>
      <x:c r="F54" s="138"/>
      <x:c r="G54" s="138"/>
      <x:c r="H54" s="138"/>
      <x:c r="I54" s="138"/>
      <x:c r="J54" s="138"/>
      <x:c r="K54" s="138"/>
      <x:c r="L54" s="138"/>
      <x:c r="M54" s="138"/>
      <x:c r="N54" s="138"/>
      <x:c r="O54" s="138"/>
      <x:c r="P54" s="138"/>
      <x:c r="Q54" s="138"/>
      <x:c r="R54" s="138"/>
      <x:c r="S54" s="138"/>
      <x:c r="T54" s="138"/>
      <x:c r="U54" s="138"/>
      <x:c r="V54" s="138"/>
      <x:c r="W54" s="138"/>
      <x:c r="X54" s="138"/>
      <x:c r="Y54" s="138"/>
      <x:c r="Z54" s="138"/>
    </x:row>
    <x:row r="55">
      <x:c r="A55" s="138"/>
      <x:c r="B55" s="138"/>
      <x:c r="C55" s="138"/>
      <x:c r="D55" s="138"/>
      <x:c r="E55" s="138"/>
      <x:c r="F55" s="138"/>
      <x:c r="G55" s="138"/>
      <x:c r="H55" s="138"/>
      <x:c r="I55" s="138"/>
      <x:c r="J55" s="138"/>
      <x:c r="K55" s="138"/>
      <x:c r="L55" s="138"/>
      <x:c r="M55" s="138"/>
      <x:c r="N55" s="138"/>
      <x:c r="O55" s="138"/>
      <x:c r="P55" s="138"/>
      <x:c r="Q55" s="138"/>
      <x:c r="R55" s="138"/>
      <x:c r="S55" s="138"/>
      <x:c r="T55" s="138"/>
      <x:c r="U55" s="138"/>
      <x:c r="V55" s="138"/>
      <x:c r="W55" s="138"/>
      <x:c r="X55" s="138"/>
      <x:c r="Y55" s="138"/>
      <x:c r="Z55" s="138"/>
    </x:row>
    <x:row r="56">
      <x:c r="A56" s="138"/>
      <x:c r="B56" s="138"/>
      <x:c r="C56" s="138"/>
      <x:c r="D56" s="138"/>
      <x:c r="E56" s="138"/>
      <x:c r="F56" s="138"/>
      <x:c r="G56" s="138"/>
      <x:c r="H56" s="138"/>
      <x:c r="I56" s="138"/>
      <x:c r="J56" s="138"/>
      <x:c r="K56" s="138"/>
      <x:c r="L56" s="138"/>
      <x:c r="M56" s="138"/>
      <x:c r="N56" s="138"/>
      <x:c r="O56" s="138"/>
      <x:c r="P56" s="138"/>
      <x:c r="Q56" s="138"/>
      <x:c r="R56" s="138"/>
      <x:c r="S56" s="138"/>
      <x:c r="T56" s="138"/>
      <x:c r="U56" s="138"/>
      <x:c r="V56" s="138"/>
      <x:c r="W56" s="138"/>
      <x:c r="X56" s="138"/>
      <x:c r="Y56" s="138"/>
      <x:c r="Z56" s="138"/>
    </x:row>
    <x:row r="57">
      <x:c r="A57" s="138"/>
      <x:c r="B57" s="138"/>
      <x:c r="C57" s="138"/>
      <x:c r="D57" s="138"/>
      <x:c r="E57" s="138"/>
      <x:c r="F57" s="138"/>
      <x:c r="G57" s="138"/>
      <x:c r="H57" s="138"/>
      <x:c r="I57" s="138"/>
      <x:c r="J57" s="138"/>
      <x:c r="K57" s="138"/>
      <x:c r="L57" s="138"/>
      <x:c r="M57" s="138"/>
      <x:c r="N57" s="138"/>
      <x:c r="O57" s="138"/>
      <x:c r="P57" s="138"/>
      <x:c r="Q57" s="138"/>
      <x:c r="R57" s="138"/>
      <x:c r="S57" s="138"/>
      <x:c r="T57" s="138"/>
      <x:c r="U57" s="138"/>
      <x:c r="V57" s="138"/>
      <x:c r="W57" s="138"/>
      <x:c r="X57" s="138"/>
      <x:c r="Y57" s="138"/>
      <x:c r="Z57" s="138"/>
    </x:row>
    <x:row r="58">
      <x:c r="A58" s="138"/>
      <x:c r="B58" s="138"/>
      <x:c r="C58" s="138"/>
      <x:c r="D58" s="138"/>
      <x:c r="E58" s="138"/>
      <x:c r="F58" s="138"/>
      <x:c r="G58" s="138"/>
      <x:c r="H58" s="138"/>
      <x:c r="I58" s="138"/>
      <x:c r="J58" s="138"/>
      <x:c r="K58" s="138"/>
      <x:c r="L58" s="138"/>
      <x:c r="M58" s="138"/>
      <x:c r="N58" s="138"/>
      <x:c r="O58" s="138"/>
      <x:c r="P58" s="138"/>
      <x:c r="Q58" s="138"/>
      <x:c r="R58" s="138"/>
      <x:c r="S58" s="138"/>
      <x:c r="T58" s="138"/>
      <x:c r="U58" s="138"/>
      <x:c r="V58" s="138"/>
      <x:c r="W58" s="138"/>
      <x:c r="X58" s="138"/>
      <x:c r="Y58" s="138"/>
      <x:c r="Z58" s="138"/>
    </x:row>
    <x:row r="59">
      <x:c r="A59" s="138"/>
      <x:c r="B59" s="138"/>
      <x:c r="C59" s="138"/>
      <x:c r="D59" s="138"/>
      <x:c r="E59" s="138"/>
      <x:c r="F59" s="138"/>
      <x:c r="G59" s="138"/>
      <x:c r="H59" s="138"/>
      <x:c r="I59" s="138"/>
      <x:c r="J59" s="138"/>
      <x:c r="K59" s="138"/>
      <x:c r="L59" s="138"/>
      <x:c r="M59" s="138"/>
      <x:c r="N59" s="138"/>
      <x:c r="O59" s="138"/>
      <x:c r="P59" s="138"/>
      <x:c r="Q59" s="138"/>
      <x:c r="R59" s="138"/>
      <x:c r="S59" s="138"/>
      <x:c r="T59" s="138"/>
      <x:c r="U59" s="138"/>
      <x:c r="V59" s="138"/>
      <x:c r="W59" s="138"/>
      <x:c r="X59" s="138"/>
      <x:c r="Y59" s="138"/>
      <x:c r="Z59" s="138"/>
    </x:row>
    <x:row r="60">
      <x:c r="A60" s="138"/>
      <x:c r="B60" s="138"/>
      <x:c r="C60" s="138"/>
      <x:c r="D60" s="138"/>
      <x:c r="E60" s="138"/>
      <x:c r="F60" s="138"/>
      <x:c r="G60" s="138"/>
      <x:c r="H60" s="138"/>
      <x:c r="I60" s="138"/>
      <x:c r="J60" s="138"/>
      <x:c r="K60" s="138"/>
      <x:c r="L60" s="138"/>
      <x:c r="M60" s="138"/>
      <x:c r="N60" s="138"/>
      <x:c r="O60" s="138"/>
      <x:c r="P60" s="138"/>
      <x:c r="Q60" s="138"/>
      <x:c r="R60" s="138"/>
      <x:c r="S60" s="138"/>
      <x:c r="T60" s="138"/>
      <x:c r="U60" s="138"/>
      <x:c r="V60" s="138"/>
      <x:c r="W60" s="138"/>
      <x:c r="X60" s="138"/>
      <x:c r="Y60" s="138"/>
      <x:c r="Z60" s="138"/>
    </x:row>
    <x:row r="61">
      <x:c r="A61" s="138"/>
      <x:c r="B61" s="138"/>
      <x:c r="C61" s="138"/>
      <x:c r="D61" s="138"/>
      <x:c r="E61" s="138"/>
      <x:c r="F61" s="138"/>
      <x:c r="G61" s="138"/>
      <x:c r="H61" s="138"/>
      <x:c r="I61" s="138"/>
      <x:c r="J61" s="138"/>
      <x:c r="K61" s="138"/>
      <x:c r="L61" s="138"/>
      <x:c r="M61" s="138"/>
      <x:c r="N61" s="138"/>
      <x:c r="O61" s="138"/>
      <x:c r="P61" s="138"/>
      <x:c r="Q61" s="138"/>
      <x:c r="R61" s="138"/>
      <x:c r="S61" s="138"/>
      <x:c r="T61" s="138"/>
      <x:c r="U61" s="138"/>
      <x:c r="V61" s="138"/>
      <x:c r="W61" s="138"/>
      <x:c r="X61" s="138"/>
      <x:c r="Y61" s="138"/>
      <x:c r="Z61" s="138"/>
    </x:row>
    <x:row r="62">
      <x:c r="A62" s="138"/>
      <x:c r="B62" s="138"/>
      <x:c r="C62" s="138"/>
      <x:c r="D62" s="138"/>
      <x:c r="E62" s="138"/>
      <x:c r="F62" s="138"/>
      <x:c r="G62" s="138"/>
      <x:c r="H62" s="138"/>
      <x:c r="I62" s="138"/>
      <x:c r="J62" s="138"/>
      <x:c r="K62" s="138"/>
      <x:c r="L62" s="138"/>
      <x:c r="M62" s="138"/>
      <x:c r="N62" s="138"/>
      <x:c r="O62" s="138"/>
      <x:c r="P62" s="138"/>
      <x:c r="Q62" s="138"/>
      <x:c r="R62" s="138"/>
      <x:c r="S62" s="138"/>
      <x:c r="T62" s="138"/>
      <x:c r="U62" s="138"/>
      <x:c r="V62" s="138"/>
      <x:c r="W62" s="138"/>
      <x:c r="X62" s="138"/>
      <x:c r="Y62" s="138"/>
      <x:c r="Z62" s="138"/>
    </x:row>
    <x:row r="63">
      <x:c r="A63" s="138"/>
      <x:c r="B63" s="138"/>
      <x:c r="C63" s="138"/>
      <x:c r="D63" s="138"/>
      <x:c r="E63" s="138"/>
      <x:c r="F63" s="138"/>
      <x:c r="G63" s="138"/>
      <x:c r="H63" s="138"/>
      <x:c r="I63" s="138"/>
      <x:c r="J63" s="138"/>
      <x:c r="K63" s="138"/>
      <x:c r="L63" s="138"/>
      <x:c r="M63" s="138"/>
      <x:c r="N63" s="138"/>
      <x:c r="O63" s="138"/>
      <x:c r="P63" s="138"/>
      <x:c r="Q63" s="138"/>
      <x:c r="R63" s="138"/>
      <x:c r="S63" s="138"/>
      <x:c r="T63" s="138"/>
      <x:c r="U63" s="138"/>
      <x:c r="V63" s="138"/>
      <x:c r="W63" s="138"/>
      <x:c r="X63" s="138"/>
      <x:c r="Y63" s="138"/>
      <x:c r="Z63" s="138"/>
    </x:row>
    <x:row r="64">
      <x:c r="A64" s="138"/>
      <x:c r="B64" s="138"/>
      <x:c r="C64" s="138"/>
      <x:c r="D64" s="138"/>
      <x:c r="E64" s="138"/>
      <x:c r="F64" s="138"/>
      <x:c r="G64" s="138"/>
      <x:c r="H64" s="138"/>
      <x:c r="I64" s="138"/>
      <x:c r="J64" s="138"/>
      <x:c r="K64" s="138"/>
      <x:c r="L64" s="138"/>
      <x:c r="M64" s="138"/>
      <x:c r="N64" s="138"/>
      <x:c r="O64" s="138"/>
      <x:c r="P64" s="138"/>
      <x:c r="Q64" s="138"/>
      <x:c r="R64" s="138"/>
      <x:c r="S64" s="138"/>
      <x:c r="T64" s="138"/>
      <x:c r="U64" s="138"/>
      <x:c r="V64" s="138"/>
      <x:c r="W64" s="138"/>
      <x:c r="X64" s="138"/>
      <x:c r="Y64" s="138"/>
      <x:c r="Z64" s="138"/>
    </x:row>
    <x:row r="65">
      <x:c r="A65" s="138"/>
      <x:c r="B65" s="138"/>
      <x:c r="C65" s="138"/>
      <x:c r="D65" s="138"/>
      <x:c r="E65" s="138"/>
      <x:c r="F65" s="138"/>
      <x:c r="G65" s="138"/>
      <x:c r="H65" s="138"/>
      <x:c r="I65" s="138"/>
      <x:c r="J65" s="138"/>
      <x:c r="K65" s="138"/>
      <x:c r="L65" s="138"/>
      <x:c r="M65" s="138"/>
      <x:c r="N65" s="138"/>
      <x:c r="O65" s="138"/>
      <x:c r="P65" s="138"/>
      <x:c r="Q65" s="138"/>
      <x:c r="R65" s="138"/>
      <x:c r="S65" s="138"/>
      <x:c r="T65" s="138"/>
      <x:c r="U65" s="138"/>
      <x:c r="V65" s="138"/>
      <x:c r="W65" s="138"/>
      <x:c r="X65" s="138"/>
      <x:c r="Y65" s="138"/>
      <x:c r="Z65" s="138"/>
    </x:row>
    <x:row r="66">
      <x:c r="A66" s="138"/>
      <x:c r="B66" s="138"/>
      <x:c r="C66" s="138"/>
      <x:c r="D66" s="138"/>
      <x:c r="E66" s="138"/>
      <x:c r="F66" s="138"/>
      <x:c r="G66" s="138"/>
      <x:c r="H66" s="138"/>
      <x:c r="I66" s="138"/>
      <x:c r="J66" s="138"/>
      <x:c r="K66" s="138"/>
      <x:c r="L66" s="138"/>
      <x:c r="M66" s="138"/>
      <x:c r="N66" s="138"/>
      <x:c r="O66" s="138"/>
      <x:c r="P66" s="138"/>
      <x:c r="Q66" s="138"/>
      <x:c r="R66" s="138"/>
      <x:c r="S66" s="138"/>
      <x:c r="T66" s="138"/>
      <x:c r="U66" s="138"/>
      <x:c r="V66" s="138"/>
      <x:c r="W66" s="138"/>
      <x:c r="X66" s="138"/>
      <x:c r="Y66" s="138"/>
      <x:c r="Z66" s="138"/>
    </x:row>
    <x:row r="67">
      <x:c r="A67" s="138"/>
      <x:c r="B67" s="138"/>
      <x:c r="C67" s="138"/>
      <x:c r="D67" s="138"/>
      <x:c r="E67" s="138"/>
      <x:c r="F67" s="138"/>
      <x:c r="G67" s="138"/>
      <x:c r="H67" s="138"/>
      <x:c r="I67" s="138"/>
      <x:c r="J67" s="138"/>
      <x:c r="K67" s="138"/>
      <x:c r="L67" s="138"/>
      <x:c r="M67" s="138"/>
      <x:c r="N67" s="138"/>
      <x:c r="O67" s="138"/>
      <x:c r="P67" s="138"/>
      <x:c r="Q67" s="138"/>
      <x:c r="R67" s="138"/>
      <x:c r="S67" s="138"/>
      <x:c r="T67" s="138"/>
      <x:c r="U67" s="138"/>
      <x:c r="V67" s="138"/>
      <x:c r="W67" s="138"/>
      <x:c r="X67" s="138"/>
      <x:c r="Y67" s="138"/>
      <x:c r="Z67" s="138"/>
    </x:row>
    <x:row r="68">
      <x:c r="A68" s="138"/>
      <x:c r="B68" s="138"/>
      <x:c r="C68" s="138"/>
      <x:c r="D68" s="138"/>
      <x:c r="E68" s="138"/>
      <x:c r="F68" s="138"/>
      <x:c r="G68" s="138"/>
      <x:c r="H68" s="138"/>
      <x:c r="I68" s="138"/>
      <x:c r="J68" s="138"/>
      <x:c r="K68" s="138"/>
      <x:c r="L68" s="138"/>
      <x:c r="M68" s="138"/>
      <x:c r="N68" s="138"/>
      <x:c r="O68" s="138"/>
      <x:c r="P68" s="138"/>
      <x:c r="Q68" s="138"/>
      <x:c r="R68" s="138"/>
      <x:c r="S68" s="138"/>
      <x:c r="T68" s="138"/>
      <x:c r="U68" s="138"/>
      <x:c r="V68" s="138"/>
      <x:c r="W68" s="138"/>
      <x:c r="X68" s="138"/>
      <x:c r="Y68" s="138"/>
      <x:c r="Z68" s="138"/>
    </x:row>
    <x:row r="69">
      <x:c r="A69" s="138"/>
      <x:c r="B69" s="138"/>
      <x:c r="C69" s="138"/>
      <x:c r="D69" s="138"/>
      <x:c r="E69" s="138"/>
      <x:c r="F69" s="138"/>
      <x:c r="G69" s="138"/>
      <x:c r="H69" s="138"/>
      <x:c r="I69" s="138"/>
      <x:c r="J69" s="138"/>
      <x:c r="K69" s="138"/>
      <x:c r="L69" s="138"/>
      <x:c r="M69" s="138"/>
      <x:c r="N69" s="138"/>
      <x:c r="O69" s="138"/>
      <x:c r="P69" s="138"/>
      <x:c r="Q69" s="138"/>
      <x:c r="R69" s="138"/>
      <x:c r="S69" s="138"/>
      <x:c r="T69" s="138"/>
      <x:c r="U69" s="138"/>
      <x:c r="V69" s="138"/>
      <x:c r="W69" s="138"/>
      <x:c r="X69" s="138"/>
      <x:c r="Y69" s="138"/>
      <x:c r="Z69" s="138"/>
    </x:row>
    <x:row r="70">
      <x:c r="A70" s="138"/>
      <x:c r="B70" s="138"/>
      <x:c r="C70" s="138"/>
      <x:c r="D70" s="138"/>
      <x:c r="E70" s="138"/>
      <x:c r="F70" s="138"/>
      <x:c r="G70" s="138"/>
      <x:c r="H70" s="138"/>
      <x:c r="I70" s="138"/>
      <x:c r="J70" s="138"/>
      <x:c r="K70" s="138"/>
      <x:c r="L70" s="138"/>
      <x:c r="M70" s="138"/>
      <x:c r="N70" s="138"/>
      <x:c r="O70" s="138"/>
      <x:c r="P70" s="138"/>
      <x:c r="Q70" s="138"/>
      <x:c r="R70" s="138"/>
      <x:c r="S70" s="138"/>
      <x:c r="T70" s="138"/>
      <x:c r="U70" s="138"/>
      <x:c r="V70" s="138"/>
      <x:c r="W70" s="138"/>
      <x:c r="X70" s="138"/>
      <x:c r="Y70" s="138"/>
      <x:c r="Z70" s="138"/>
    </x:row>
    <x:row r="71">
      <x:c r="A71" s="138"/>
      <x:c r="B71" s="138"/>
      <x:c r="C71" s="138"/>
      <x:c r="D71" s="138"/>
      <x:c r="E71" s="138"/>
      <x:c r="F71" s="138"/>
      <x:c r="G71" s="138"/>
      <x:c r="H71" s="138"/>
      <x:c r="I71" s="138"/>
      <x:c r="J71" s="138"/>
      <x:c r="K71" s="138"/>
      <x:c r="L71" s="138"/>
      <x:c r="M71" s="138"/>
      <x:c r="N71" s="138"/>
      <x:c r="O71" s="138"/>
      <x:c r="P71" s="138"/>
      <x:c r="Q71" s="138"/>
      <x:c r="R71" s="138"/>
      <x:c r="S71" s="138"/>
      <x:c r="T71" s="138"/>
      <x:c r="U71" s="138"/>
      <x:c r="V71" s="138"/>
      <x:c r="W71" s="138"/>
      <x:c r="X71" s="138"/>
      <x:c r="Y71" s="138"/>
      <x:c r="Z71" s="138"/>
    </x:row>
    <x:row r="72">
      <x:c r="A72" s="138"/>
      <x:c r="B72" s="138"/>
      <x:c r="C72" s="138"/>
      <x:c r="D72" s="138"/>
      <x:c r="E72" s="138"/>
      <x:c r="F72" s="138"/>
      <x:c r="G72" s="138"/>
      <x:c r="H72" s="138"/>
      <x:c r="I72" s="138"/>
      <x:c r="J72" s="138"/>
      <x:c r="K72" s="138"/>
      <x:c r="L72" s="138"/>
      <x:c r="M72" s="138"/>
      <x:c r="N72" s="138"/>
      <x:c r="O72" s="138"/>
      <x:c r="P72" s="138"/>
      <x:c r="Q72" s="138"/>
      <x:c r="R72" s="138"/>
      <x:c r="S72" s="138"/>
      <x:c r="T72" s="138"/>
      <x:c r="U72" s="138"/>
      <x:c r="V72" s="138"/>
      <x:c r="W72" s="138"/>
      <x:c r="X72" s="138"/>
      <x:c r="Y72" s="138"/>
      <x:c r="Z72" s="138"/>
    </x:row>
    <x:row r="73">
      <x:c r="A73" s="138"/>
      <x:c r="B73" s="138"/>
      <x:c r="C73" s="138"/>
      <x:c r="D73" s="138"/>
      <x:c r="E73" s="138"/>
      <x:c r="F73" s="138"/>
      <x:c r="G73" s="138"/>
      <x:c r="H73" s="138"/>
      <x:c r="I73" s="138"/>
      <x:c r="J73" s="138"/>
      <x:c r="K73" s="138"/>
      <x:c r="L73" s="138"/>
      <x:c r="M73" s="138"/>
      <x:c r="N73" s="138"/>
      <x:c r="O73" s="138"/>
      <x:c r="P73" s="138"/>
      <x:c r="Q73" s="138"/>
      <x:c r="R73" s="138"/>
      <x:c r="S73" s="138"/>
      <x:c r="T73" s="138"/>
      <x:c r="U73" s="138"/>
      <x:c r="V73" s="138"/>
      <x:c r="W73" s="138"/>
      <x:c r="X73" s="138"/>
      <x:c r="Y73" s="138"/>
      <x:c r="Z73" s="138"/>
    </x:row>
    <x:row r="74">
      <x:c r="A74" s="138"/>
      <x:c r="B74" s="138"/>
      <x:c r="C74" s="138"/>
      <x:c r="D74" s="138"/>
      <x:c r="E74" s="138"/>
      <x:c r="F74" s="138"/>
      <x:c r="G74" s="138"/>
      <x:c r="H74" s="138"/>
      <x:c r="I74" s="138"/>
      <x:c r="J74" s="138"/>
      <x:c r="K74" s="138"/>
      <x:c r="L74" s="138"/>
      <x:c r="M74" s="138"/>
      <x:c r="N74" s="138"/>
      <x:c r="O74" s="138"/>
      <x:c r="P74" s="138"/>
      <x:c r="Q74" s="138"/>
      <x:c r="R74" s="138"/>
      <x:c r="S74" s="138"/>
      <x:c r="T74" s="138"/>
      <x:c r="U74" s="138"/>
      <x:c r="V74" s="138"/>
      <x:c r="W74" s="138"/>
      <x:c r="X74" s="138"/>
      <x:c r="Y74" s="138"/>
      <x:c r="Z74" s="138"/>
    </x:row>
    <x:row r="75">
      <x:c r="A75" s="138"/>
      <x:c r="B75" s="138"/>
      <x:c r="C75" s="138"/>
      <x:c r="D75" s="138"/>
      <x:c r="E75" s="138"/>
      <x:c r="F75" s="138"/>
      <x:c r="G75" s="138"/>
      <x:c r="H75" s="138"/>
      <x:c r="I75" s="138"/>
      <x:c r="J75" s="138"/>
      <x:c r="K75" s="138"/>
      <x:c r="L75" s="138"/>
      <x:c r="M75" s="138"/>
      <x:c r="N75" s="138"/>
      <x:c r="O75" s="138"/>
      <x:c r="P75" s="138"/>
      <x:c r="Q75" s="138"/>
      <x:c r="R75" s="138"/>
      <x:c r="S75" s="138"/>
      <x:c r="T75" s="138"/>
      <x:c r="U75" s="138"/>
      <x:c r="V75" s="138"/>
      <x:c r="W75" s="138"/>
      <x:c r="X75" s="138"/>
      <x:c r="Y75" s="138"/>
      <x:c r="Z75" s="138"/>
    </x:row>
    <x:row r="76">
      <x:c r="A76" s="138"/>
      <x:c r="B76" s="138"/>
      <x:c r="C76" s="138"/>
      <x:c r="D76" s="138"/>
      <x:c r="E76" s="138"/>
      <x:c r="F76" s="138"/>
      <x:c r="G76" s="138"/>
      <x:c r="H76" s="138"/>
      <x:c r="I76" s="138"/>
      <x:c r="J76" s="138"/>
      <x:c r="K76" s="138"/>
      <x:c r="L76" s="138"/>
      <x:c r="M76" s="138"/>
      <x:c r="N76" s="138"/>
      <x:c r="O76" s="138"/>
      <x:c r="P76" s="138"/>
      <x:c r="Q76" s="138"/>
      <x:c r="R76" s="138"/>
      <x:c r="S76" s="138"/>
      <x:c r="T76" s="138"/>
      <x:c r="U76" s="138"/>
      <x:c r="V76" s="138"/>
      <x:c r="W76" s="138"/>
      <x:c r="X76" s="138"/>
      <x:c r="Y76" s="138"/>
      <x:c r="Z76" s="138"/>
    </x:row>
    <x:row r="77">
      <x:c r="A77" s="138"/>
      <x:c r="B77" s="138"/>
      <x:c r="C77" s="138"/>
      <x:c r="D77" s="138"/>
      <x:c r="E77" s="138"/>
      <x:c r="F77" s="138"/>
      <x:c r="G77" s="138"/>
      <x:c r="H77" s="138"/>
      <x:c r="I77" s="138"/>
      <x:c r="J77" s="138"/>
      <x:c r="K77" s="138"/>
      <x:c r="L77" s="138"/>
      <x:c r="M77" s="138"/>
      <x:c r="N77" s="138"/>
      <x:c r="O77" s="138"/>
      <x:c r="P77" s="138"/>
      <x:c r="Q77" s="138"/>
      <x:c r="R77" s="138"/>
      <x:c r="S77" s="138"/>
      <x:c r="T77" s="138"/>
      <x:c r="U77" s="138"/>
      <x:c r="V77" s="138"/>
      <x:c r="W77" s="138"/>
      <x:c r="X77" s="138"/>
      <x:c r="Y77" s="138"/>
      <x:c r="Z77" s="138"/>
    </x:row>
    <x:row r="78">
      <x:c r="A78" s="138"/>
      <x:c r="B78" s="138"/>
      <x:c r="C78" s="138"/>
      <x:c r="D78" s="138"/>
      <x:c r="E78" s="138"/>
      <x:c r="F78" s="138"/>
      <x:c r="G78" s="138"/>
      <x:c r="H78" s="138"/>
      <x:c r="I78" s="138"/>
      <x:c r="J78" s="138"/>
      <x:c r="K78" s="138"/>
      <x:c r="L78" s="138"/>
      <x:c r="M78" s="138"/>
      <x:c r="N78" s="138"/>
      <x:c r="O78" s="138"/>
      <x:c r="P78" s="138"/>
      <x:c r="Q78" s="138"/>
      <x:c r="R78" s="138"/>
      <x:c r="S78" s="138"/>
      <x:c r="T78" s="138"/>
      <x:c r="U78" s="138"/>
      <x:c r="V78" s="138"/>
      <x:c r="W78" s="138"/>
      <x:c r="X78" s="138"/>
      <x:c r="Y78" s="138"/>
      <x:c r="Z78" s="138"/>
    </x:row>
    <x:row r="79">
      <x:c r="A79" s="138"/>
      <x:c r="B79" s="138"/>
      <x:c r="C79" s="138"/>
      <x:c r="D79" s="138"/>
      <x:c r="E79" s="138"/>
      <x:c r="F79" s="138"/>
      <x:c r="G79" s="138"/>
      <x:c r="H79" s="138"/>
      <x:c r="I79" s="138"/>
      <x:c r="J79" s="138"/>
      <x:c r="K79" s="138"/>
      <x:c r="L79" s="138"/>
      <x:c r="M79" s="138"/>
      <x:c r="N79" s="138"/>
      <x:c r="O79" s="138"/>
      <x:c r="P79" s="138"/>
      <x:c r="Q79" s="138"/>
      <x:c r="R79" s="138"/>
      <x:c r="S79" s="138"/>
      <x:c r="T79" s="138"/>
      <x:c r="U79" s="138"/>
      <x:c r="V79" s="138"/>
      <x:c r="W79" s="138"/>
      <x:c r="X79" s="138"/>
      <x:c r="Y79" s="138"/>
      <x:c r="Z79" s="138"/>
    </x:row>
    <x:row r="80">
      <x:c r="A80" s="138"/>
      <x:c r="B80" s="138"/>
      <x:c r="C80" s="138"/>
      <x:c r="D80" s="138"/>
      <x:c r="E80" s="138"/>
      <x:c r="F80" s="138"/>
      <x:c r="G80" s="138"/>
      <x:c r="H80" s="138"/>
      <x:c r="I80" s="138"/>
      <x:c r="J80" s="138"/>
      <x:c r="K80" s="138"/>
      <x:c r="L80" s="138"/>
      <x:c r="M80" s="138"/>
      <x:c r="N80" s="138"/>
      <x:c r="O80" s="138"/>
      <x:c r="P80" s="138"/>
      <x:c r="Q80" s="138"/>
      <x:c r="R80" s="138"/>
      <x:c r="S80" s="138"/>
      <x:c r="T80" s="138"/>
      <x:c r="U80" s="138"/>
      <x:c r="V80" s="138"/>
      <x:c r="W80" s="138"/>
      <x:c r="X80" s="138"/>
      <x:c r="Y80" s="138"/>
      <x:c r="Z80" s="138"/>
    </x:row>
    <x:row r="81">
      <x:c r="A81" s="138"/>
      <x:c r="B81" s="138"/>
      <x:c r="C81" s="138"/>
      <x:c r="D81" s="138"/>
      <x:c r="E81" s="138"/>
      <x:c r="F81" s="138"/>
      <x:c r="G81" s="138"/>
      <x:c r="H81" s="138"/>
      <x:c r="I81" s="138"/>
      <x:c r="J81" s="138"/>
      <x:c r="K81" s="138"/>
      <x:c r="L81" s="138"/>
      <x:c r="M81" s="138"/>
      <x:c r="N81" s="138"/>
      <x:c r="O81" s="138"/>
      <x:c r="P81" s="138"/>
      <x:c r="Q81" s="138"/>
      <x:c r="R81" s="138"/>
      <x:c r="S81" s="138"/>
      <x:c r="T81" s="138"/>
      <x:c r="U81" s="138"/>
      <x:c r="V81" s="138"/>
      <x:c r="W81" s="138"/>
      <x:c r="X81" s="138"/>
      <x:c r="Y81" s="138"/>
      <x:c r="Z81" s="138"/>
    </x:row>
    <x:row r="82">
      <x:c r="A82" s="138"/>
      <x:c r="B82" s="138"/>
      <x:c r="C82" s="138"/>
      <x:c r="D82" s="138"/>
      <x:c r="E82" s="138"/>
      <x:c r="F82" s="138"/>
      <x:c r="G82" s="138"/>
      <x:c r="H82" s="138"/>
      <x:c r="I82" s="138"/>
      <x:c r="J82" s="138"/>
      <x:c r="K82" s="138"/>
      <x:c r="L82" s="138"/>
      <x:c r="M82" s="138"/>
      <x:c r="N82" s="138"/>
      <x:c r="O82" s="138"/>
      <x:c r="P82" s="138"/>
      <x:c r="Q82" s="138"/>
      <x:c r="R82" s="138"/>
      <x:c r="S82" s="138"/>
      <x:c r="T82" s="138"/>
      <x:c r="U82" s="138"/>
      <x:c r="V82" s="138"/>
      <x:c r="W82" s="138"/>
      <x:c r="X82" s="138"/>
      <x:c r="Y82" s="138"/>
      <x:c r="Z82" s="138"/>
    </x:row>
    <x:row r="83">
      <x:c r="A83" s="138"/>
      <x:c r="B83" s="138"/>
      <x:c r="C83" s="138"/>
      <x:c r="D83" s="138"/>
      <x:c r="E83" s="138"/>
      <x:c r="F83" s="138"/>
      <x:c r="G83" s="138"/>
      <x:c r="H83" s="138"/>
      <x:c r="I83" s="138"/>
      <x:c r="J83" s="138"/>
      <x:c r="K83" s="138"/>
      <x:c r="L83" s="138"/>
      <x:c r="M83" s="138"/>
      <x:c r="N83" s="138"/>
      <x:c r="O83" s="138"/>
      <x:c r="P83" s="138"/>
      <x:c r="Q83" s="138"/>
      <x:c r="R83" s="138"/>
      <x:c r="S83" s="138"/>
      <x:c r="T83" s="138"/>
      <x:c r="U83" s="138"/>
      <x:c r="V83" s="138"/>
      <x:c r="W83" s="138"/>
      <x:c r="X83" s="138"/>
      <x:c r="Y83" s="138"/>
      <x:c r="Z83" s="138"/>
    </x:row>
    <x:row r="84">
      <x:c r="A84" s="138"/>
      <x:c r="B84" s="138"/>
      <x:c r="C84" s="138"/>
      <x:c r="D84" s="138"/>
      <x:c r="E84" s="138"/>
      <x:c r="F84" s="138"/>
      <x:c r="G84" s="138"/>
      <x:c r="H84" s="138"/>
      <x:c r="I84" s="138"/>
      <x:c r="J84" s="138"/>
      <x:c r="K84" s="138"/>
      <x:c r="L84" s="138"/>
      <x:c r="M84" s="138"/>
      <x:c r="N84" s="138"/>
      <x:c r="O84" s="138"/>
      <x:c r="P84" s="138"/>
      <x:c r="Q84" s="138"/>
      <x:c r="R84" s="138"/>
      <x:c r="S84" s="138"/>
      <x:c r="T84" s="138"/>
      <x:c r="U84" s="138"/>
      <x:c r="V84" s="138"/>
      <x:c r="W84" s="138"/>
      <x:c r="X84" s="138"/>
      <x:c r="Y84" s="138"/>
      <x:c r="Z84" s="138"/>
    </x:row>
    <x:row r="85">
      <x:c r="A85" s="138"/>
      <x:c r="B85" s="138"/>
      <x:c r="C85" s="138"/>
      <x:c r="D85" s="138"/>
      <x:c r="E85" s="138"/>
      <x:c r="F85" s="138"/>
      <x:c r="G85" s="138"/>
      <x:c r="H85" s="138"/>
      <x:c r="I85" s="138"/>
      <x:c r="J85" s="138"/>
      <x:c r="K85" s="138"/>
      <x:c r="L85" s="138"/>
      <x:c r="M85" s="138"/>
      <x:c r="N85" s="138"/>
      <x:c r="O85" s="138"/>
      <x:c r="P85" s="138"/>
      <x:c r="Q85" s="138"/>
      <x:c r="R85" s="138"/>
      <x:c r="S85" s="138"/>
      <x:c r="T85" s="138"/>
      <x:c r="U85" s="138"/>
      <x:c r="V85" s="138"/>
      <x:c r="W85" s="138"/>
      <x:c r="X85" s="138"/>
      <x:c r="Y85" s="138"/>
      <x:c r="Z85" s="138"/>
    </x:row>
    <x:row r="86">
      <x:c r="A86" s="138"/>
      <x:c r="B86" s="138"/>
      <x:c r="C86" s="138"/>
      <x:c r="D86" s="138"/>
      <x:c r="E86" s="138"/>
      <x:c r="F86" s="138"/>
      <x:c r="G86" s="138"/>
      <x:c r="H86" s="138"/>
      <x:c r="I86" s="138"/>
      <x:c r="J86" s="138"/>
      <x:c r="K86" s="138"/>
      <x:c r="L86" s="138"/>
      <x:c r="M86" s="138"/>
      <x:c r="N86" s="138"/>
      <x:c r="O86" s="138"/>
      <x:c r="P86" s="138"/>
      <x:c r="Q86" s="138"/>
      <x:c r="R86" s="138"/>
      <x:c r="S86" s="138"/>
      <x:c r="T86" s="138"/>
      <x:c r="U86" s="138"/>
      <x:c r="V86" s="138"/>
      <x:c r="W86" s="138"/>
      <x:c r="X86" s="138"/>
      <x:c r="Y86" s="138"/>
      <x:c r="Z86" s="138"/>
    </x:row>
    <x:row r="87">
      <x:c r="A87" s="138"/>
      <x:c r="B87" s="138"/>
      <x:c r="C87" s="138"/>
      <x:c r="D87" s="138"/>
      <x:c r="E87" s="138"/>
      <x:c r="F87" s="138"/>
      <x:c r="G87" s="138"/>
      <x:c r="H87" s="138"/>
      <x:c r="I87" s="138"/>
      <x:c r="J87" s="138"/>
      <x:c r="K87" s="138"/>
      <x:c r="L87" s="138"/>
      <x:c r="M87" s="138"/>
      <x:c r="N87" s="138"/>
      <x:c r="O87" s="138"/>
      <x:c r="P87" s="138"/>
      <x:c r="Q87" s="138"/>
      <x:c r="R87" s="138"/>
      <x:c r="S87" s="138"/>
      <x:c r="T87" s="138"/>
      <x:c r="U87" s="138"/>
      <x:c r="V87" s="138"/>
      <x:c r="W87" s="138"/>
      <x:c r="X87" s="138"/>
      <x:c r="Y87" s="138"/>
      <x:c r="Z87" s="138"/>
    </x:row>
    <x:row r="88">
      <x:c r="A88" s="138"/>
      <x:c r="B88" s="138"/>
      <x:c r="C88" s="138"/>
      <x:c r="D88" s="138"/>
      <x:c r="E88" s="138"/>
      <x:c r="F88" s="138"/>
      <x:c r="G88" s="138"/>
      <x:c r="H88" s="138"/>
      <x:c r="I88" s="138"/>
      <x:c r="J88" s="138"/>
      <x:c r="K88" s="138"/>
      <x:c r="L88" s="138"/>
      <x:c r="M88" s="138"/>
      <x:c r="N88" s="138"/>
      <x:c r="O88" s="138"/>
      <x:c r="P88" s="138"/>
      <x:c r="Q88" s="138"/>
      <x:c r="R88" s="138"/>
      <x:c r="S88" s="138"/>
      <x:c r="T88" s="138"/>
      <x:c r="U88" s="138"/>
      <x:c r="V88" s="138"/>
      <x:c r="W88" s="138"/>
      <x:c r="X88" s="138"/>
      <x:c r="Y88" s="138"/>
      <x:c r="Z88" s="138"/>
    </x:row>
    <x:row r="89">
      <x:c r="A89" s="138"/>
      <x:c r="B89" s="138"/>
      <x:c r="C89" s="138"/>
      <x:c r="D89" s="138"/>
      <x:c r="E89" s="138"/>
      <x:c r="F89" s="138"/>
      <x:c r="G89" s="138"/>
      <x:c r="H89" s="138"/>
      <x:c r="I89" s="138"/>
      <x:c r="J89" s="138"/>
      <x:c r="K89" s="138"/>
      <x:c r="L89" s="138"/>
      <x:c r="M89" s="138"/>
      <x:c r="N89" s="138"/>
      <x:c r="O89" s="138"/>
      <x:c r="P89" s="138"/>
      <x:c r="Q89" s="138"/>
      <x:c r="R89" s="138"/>
      <x:c r="S89" s="138"/>
      <x:c r="T89" s="138"/>
      <x:c r="U89" s="138"/>
      <x:c r="V89" s="138"/>
      <x:c r="W89" s="138"/>
      <x:c r="X89" s="138"/>
      <x:c r="Y89" s="138"/>
      <x:c r="Z89" s="138"/>
    </x:row>
    <x:row r="90">
      <x:c r="A90" s="138"/>
      <x:c r="B90" s="138"/>
      <x:c r="C90" s="138"/>
      <x:c r="D90" s="138"/>
      <x:c r="E90" s="138"/>
      <x:c r="F90" s="138"/>
      <x:c r="G90" s="138"/>
      <x:c r="H90" s="138"/>
      <x:c r="I90" s="138"/>
      <x:c r="J90" s="138"/>
      <x:c r="K90" s="138"/>
      <x:c r="L90" s="138"/>
      <x:c r="M90" s="138"/>
      <x:c r="N90" s="138"/>
      <x:c r="O90" s="138"/>
      <x:c r="P90" s="138"/>
      <x:c r="Q90" s="138"/>
      <x:c r="R90" s="138"/>
      <x:c r="S90" s="138"/>
      <x:c r="T90" s="138"/>
      <x:c r="U90" s="138"/>
      <x:c r="V90" s="138"/>
      <x:c r="W90" s="138"/>
      <x:c r="X90" s="138"/>
      <x:c r="Y90" s="138"/>
      <x:c r="Z90" s="138"/>
    </x:row>
    <x:row r="91">
      <x:c r="A91" s="138"/>
      <x:c r="B91" s="138"/>
      <x:c r="C91" s="138"/>
      <x:c r="D91" s="138"/>
      <x:c r="E91" s="138"/>
      <x:c r="F91" s="138"/>
      <x:c r="G91" s="138"/>
      <x:c r="H91" s="138"/>
      <x:c r="I91" s="138"/>
      <x:c r="J91" s="138"/>
      <x:c r="K91" s="138"/>
      <x:c r="L91" s="138"/>
      <x:c r="M91" s="138"/>
      <x:c r="N91" s="138"/>
      <x:c r="O91" s="138"/>
      <x:c r="P91" s="138"/>
      <x:c r="Q91" s="138"/>
      <x:c r="R91" s="138"/>
      <x:c r="S91" s="138"/>
      <x:c r="T91" s="138"/>
      <x:c r="U91" s="138"/>
      <x:c r="V91" s="138"/>
      <x:c r="W91" s="138"/>
      <x:c r="X91" s="138"/>
      <x:c r="Y91" s="138"/>
      <x:c r="Z91" s="138"/>
    </x:row>
    <x:row r="92">
      <x:c r="A92" s="138"/>
      <x:c r="B92" s="138"/>
      <x:c r="C92" s="138"/>
      <x:c r="D92" s="138"/>
      <x:c r="E92" s="138"/>
      <x:c r="F92" s="138"/>
      <x:c r="G92" s="138"/>
      <x:c r="H92" s="138"/>
      <x:c r="I92" s="138"/>
      <x:c r="J92" s="138"/>
      <x:c r="K92" s="138"/>
      <x:c r="L92" s="138"/>
      <x:c r="M92" s="138"/>
      <x:c r="N92" s="138"/>
      <x:c r="O92" s="138"/>
      <x:c r="P92" s="138"/>
      <x:c r="Q92" s="138"/>
      <x:c r="R92" s="138"/>
      <x:c r="S92" s="138"/>
      <x:c r="T92" s="138"/>
      <x:c r="U92" s="138"/>
      <x:c r="V92" s="138"/>
      <x:c r="W92" s="138"/>
      <x:c r="X92" s="138"/>
      <x:c r="Y92" s="138"/>
      <x:c r="Z92" s="138"/>
    </x:row>
    <x:row r="93">
      <x:c r="A93" s="138"/>
      <x:c r="B93" s="138"/>
      <x:c r="C93" s="138"/>
      <x:c r="D93" s="138"/>
      <x:c r="E93" s="138"/>
      <x:c r="F93" s="138"/>
      <x:c r="G93" s="138"/>
      <x:c r="H93" s="138"/>
      <x:c r="I93" s="138"/>
      <x:c r="J93" s="138"/>
      <x:c r="K93" s="138"/>
      <x:c r="L93" s="138"/>
      <x:c r="M93" s="138"/>
      <x:c r="N93" s="138"/>
      <x:c r="O93" s="138"/>
      <x:c r="P93" s="138"/>
      <x:c r="Q93" s="138"/>
      <x:c r="R93" s="138"/>
      <x:c r="S93" s="138"/>
      <x:c r="T93" s="138"/>
      <x:c r="U93" s="138"/>
      <x:c r="V93" s="138"/>
      <x:c r="W93" s="138"/>
      <x:c r="X93" s="138"/>
      <x:c r="Y93" s="138"/>
      <x:c r="Z93" s="138"/>
    </x:row>
    <x:row r="94">
      <x:c r="A94" s="138"/>
      <x:c r="B94" s="138"/>
      <x:c r="C94" s="138"/>
      <x:c r="D94" s="138"/>
      <x:c r="E94" s="138"/>
      <x:c r="F94" s="138"/>
      <x:c r="G94" s="138"/>
      <x:c r="H94" s="138"/>
      <x:c r="I94" s="138"/>
      <x:c r="J94" s="138"/>
      <x:c r="K94" s="138"/>
      <x:c r="L94" s="138"/>
      <x:c r="M94" s="138"/>
      <x:c r="N94" s="138"/>
      <x:c r="O94" s="138"/>
      <x:c r="P94" s="138"/>
      <x:c r="Q94" s="138"/>
      <x:c r="R94" s="138"/>
      <x:c r="S94" s="138"/>
      <x:c r="T94" s="138"/>
      <x:c r="U94" s="138"/>
      <x:c r="V94" s="138"/>
      <x:c r="W94" s="138"/>
      <x:c r="X94" s="138"/>
      <x:c r="Y94" s="138"/>
      <x:c r="Z94" s="138"/>
    </x:row>
    <x:row r="95">
      <x:c r="A95" s="138"/>
      <x:c r="B95" s="138"/>
      <x:c r="C95" s="138"/>
      <x:c r="D95" s="138"/>
      <x:c r="E95" s="138"/>
      <x:c r="F95" s="138"/>
      <x:c r="G95" s="138"/>
      <x:c r="H95" s="138"/>
      <x:c r="I95" s="138"/>
      <x:c r="J95" s="138"/>
      <x:c r="K95" s="138"/>
      <x:c r="L95" s="138"/>
      <x:c r="M95" s="138"/>
      <x:c r="N95" s="138"/>
      <x:c r="O95" s="138"/>
      <x:c r="P95" s="138"/>
      <x:c r="Q95" s="138"/>
      <x:c r="R95" s="138"/>
      <x:c r="S95" s="138"/>
      <x:c r="T95" s="138"/>
      <x:c r="U95" s="138"/>
      <x:c r="V95" s="138"/>
      <x:c r="W95" s="138"/>
      <x:c r="X95" s="138"/>
      <x:c r="Y95" s="138"/>
      <x:c r="Z95" s="138"/>
    </x:row>
    <x:row r="96">
      <x:c r="A96" s="138"/>
      <x:c r="B96" s="138"/>
      <x:c r="C96" s="138"/>
      <x:c r="D96" s="138"/>
      <x:c r="E96" s="138"/>
      <x:c r="F96" s="138"/>
      <x:c r="G96" s="138"/>
      <x:c r="H96" s="138"/>
      <x:c r="I96" s="138"/>
      <x:c r="J96" s="138"/>
      <x:c r="K96" s="138"/>
      <x:c r="L96" s="138"/>
      <x:c r="M96" s="138"/>
      <x:c r="N96" s="138"/>
      <x:c r="O96" s="138"/>
      <x:c r="P96" s="138"/>
      <x:c r="Q96" s="138"/>
      <x:c r="R96" s="138"/>
      <x:c r="S96" s="138"/>
      <x:c r="T96" s="138"/>
      <x:c r="U96" s="138"/>
      <x:c r="V96" s="138"/>
      <x:c r="W96" s="138"/>
      <x:c r="X96" s="138"/>
      <x:c r="Y96" s="138"/>
      <x:c r="Z96" s="138"/>
    </x:row>
    <x:row r="97">
      <x:c r="A97" s="138"/>
      <x:c r="B97" s="138"/>
      <x:c r="C97" s="138"/>
      <x:c r="D97" s="138"/>
      <x:c r="E97" s="138"/>
      <x:c r="F97" s="138"/>
      <x:c r="G97" s="138"/>
      <x:c r="H97" s="138"/>
      <x:c r="I97" s="138"/>
      <x:c r="J97" s="138"/>
      <x:c r="K97" s="138"/>
      <x:c r="L97" s="138"/>
      <x:c r="M97" s="138"/>
      <x:c r="N97" s="138"/>
      <x:c r="O97" s="138"/>
      <x:c r="P97" s="138"/>
      <x:c r="Q97" s="138"/>
      <x:c r="R97" s="138"/>
      <x:c r="S97" s="138"/>
      <x:c r="T97" s="138"/>
      <x:c r="U97" s="138"/>
      <x:c r="V97" s="138"/>
      <x:c r="W97" s="138"/>
      <x:c r="X97" s="138"/>
      <x:c r="Y97" s="138"/>
      <x:c r="Z97" s="138"/>
    </x:row>
    <x:row r="98">
      <x:c r="A98" s="138"/>
      <x:c r="B98" s="138"/>
      <x:c r="C98" s="138"/>
      <x:c r="D98" s="138"/>
      <x:c r="E98" s="138"/>
      <x:c r="F98" s="138"/>
      <x:c r="G98" s="138"/>
      <x:c r="H98" s="138"/>
      <x:c r="I98" s="138"/>
      <x:c r="J98" s="138"/>
      <x:c r="K98" s="138"/>
      <x:c r="L98" s="138"/>
      <x:c r="M98" s="138"/>
      <x:c r="N98" s="138"/>
      <x:c r="O98" s="138"/>
      <x:c r="P98" s="138"/>
      <x:c r="Q98" s="138"/>
      <x:c r="R98" s="138"/>
      <x:c r="S98" s="138"/>
      <x:c r="T98" s="138"/>
      <x:c r="U98" s="138"/>
      <x:c r="V98" s="138"/>
      <x:c r="W98" s="138"/>
      <x:c r="X98" s="138"/>
      <x:c r="Y98" s="138"/>
      <x:c r="Z98" s="138"/>
    </x:row>
    <x:row r="99">
      <x:c r="A99" s="138"/>
      <x:c r="B99" s="138"/>
      <x:c r="C99" s="138"/>
      <x:c r="D99" s="138"/>
      <x:c r="E99" s="138"/>
      <x:c r="F99" s="138"/>
      <x:c r="G99" s="138"/>
      <x:c r="H99" s="138"/>
      <x:c r="I99" s="138"/>
      <x:c r="J99" s="138"/>
      <x:c r="K99" s="138"/>
      <x:c r="L99" s="138"/>
      <x:c r="M99" s="138"/>
      <x:c r="N99" s="138"/>
      <x:c r="O99" s="138"/>
      <x:c r="P99" s="138"/>
      <x:c r="Q99" s="138"/>
      <x:c r="R99" s="138"/>
      <x:c r="S99" s="138"/>
      <x:c r="T99" s="138"/>
      <x:c r="U99" s="138"/>
      <x:c r="V99" s="138"/>
      <x:c r="W99" s="138"/>
      <x:c r="X99" s="138"/>
      <x:c r="Y99" s="138"/>
      <x:c r="Z99" s="138"/>
    </x:row>
    <x:row r="100">
      <x:c r="A100" s="138"/>
      <x:c r="B100" s="138"/>
      <x:c r="C100" s="138"/>
      <x:c r="D100" s="138"/>
      <x:c r="E100" s="138"/>
      <x:c r="F100" s="138"/>
      <x:c r="G100" s="138"/>
      <x:c r="H100" s="138"/>
      <x:c r="I100" s="138"/>
      <x:c r="J100" s="138"/>
      <x:c r="K100" s="138"/>
      <x:c r="L100" s="138"/>
      <x:c r="M100" s="138"/>
      <x:c r="N100" s="138"/>
      <x:c r="O100" s="138"/>
      <x:c r="P100" s="138"/>
      <x:c r="Q100" s="138"/>
      <x:c r="R100" s="138"/>
      <x:c r="S100" s="138"/>
      <x:c r="T100" s="138"/>
      <x:c r="U100" s="138"/>
      <x:c r="V100" s="138"/>
      <x:c r="W100" s="138"/>
      <x:c r="X100" s="138"/>
      <x:c r="Y100" s="138"/>
      <x:c r="Z100" s="138"/>
    </x:row>
    <x:row r="101">
      <x:c r="A101" s="138"/>
      <x:c r="B101" s="138"/>
      <x:c r="C101" s="138"/>
      <x:c r="D101" s="138"/>
      <x:c r="E101" s="138"/>
      <x:c r="F101" s="138"/>
      <x:c r="G101" s="138"/>
      <x:c r="H101" s="138"/>
      <x:c r="I101" s="138"/>
      <x:c r="J101" s="138"/>
      <x:c r="K101" s="138"/>
      <x:c r="L101" s="138"/>
      <x:c r="M101" s="138"/>
      <x:c r="N101" s="138"/>
      <x:c r="O101" s="138"/>
      <x:c r="P101" s="138"/>
      <x:c r="Q101" s="138"/>
      <x:c r="R101" s="138"/>
      <x:c r="S101" s="138"/>
      <x:c r="T101" s="138"/>
      <x:c r="U101" s="138"/>
      <x:c r="V101" s="138"/>
      <x:c r="W101" s="138"/>
      <x:c r="X101" s="138"/>
      <x:c r="Y101" s="138"/>
      <x:c r="Z101" s="138"/>
    </x:row>
    <x:row r="102">
      <x:c r="A102" s="138"/>
      <x:c r="B102" s="138"/>
      <x:c r="C102" s="138"/>
      <x:c r="D102" s="138"/>
      <x:c r="E102" s="138"/>
      <x:c r="F102" s="138"/>
      <x:c r="G102" s="138"/>
      <x:c r="H102" s="138"/>
      <x:c r="I102" s="138"/>
      <x:c r="J102" s="138"/>
      <x:c r="K102" s="138"/>
      <x:c r="L102" s="138"/>
      <x:c r="M102" s="138"/>
      <x:c r="N102" s="138"/>
      <x:c r="O102" s="138"/>
      <x:c r="P102" s="138"/>
      <x:c r="Q102" s="138"/>
      <x:c r="R102" s="138"/>
      <x:c r="S102" s="138"/>
      <x:c r="T102" s="138"/>
      <x:c r="U102" s="138"/>
      <x:c r="V102" s="138"/>
      <x:c r="W102" s="138"/>
      <x:c r="X102" s="138"/>
      <x:c r="Y102" s="138"/>
      <x:c r="Z102" s="138"/>
    </x:row>
    <x:row r="103">
      <x:c r="A103" s="138"/>
      <x:c r="B103" s="138"/>
      <x:c r="C103" s="138"/>
      <x:c r="D103" s="138"/>
      <x:c r="E103" s="138"/>
      <x:c r="F103" s="138"/>
      <x:c r="G103" s="138"/>
      <x:c r="H103" s="138"/>
      <x:c r="I103" s="138"/>
      <x:c r="J103" s="138"/>
      <x:c r="K103" s="138"/>
      <x:c r="L103" s="138"/>
      <x:c r="M103" s="138"/>
      <x:c r="N103" s="138"/>
      <x:c r="O103" s="138"/>
      <x:c r="P103" s="138"/>
      <x:c r="Q103" s="138"/>
      <x:c r="R103" s="138"/>
      <x:c r="S103" s="138"/>
      <x:c r="T103" s="138"/>
      <x:c r="U103" s="138"/>
      <x:c r="V103" s="138"/>
      <x:c r="W103" s="138"/>
      <x:c r="X103" s="138"/>
      <x:c r="Y103" s="138"/>
      <x:c r="Z103" s="138"/>
    </x:row>
    <x:row r="104">
      <x:c r="A104" s="138"/>
      <x:c r="B104" s="138"/>
      <x:c r="C104" s="138"/>
      <x:c r="D104" s="138"/>
      <x:c r="E104" s="138"/>
      <x:c r="F104" s="138"/>
      <x:c r="G104" s="138"/>
      <x:c r="H104" s="138"/>
      <x:c r="I104" s="138"/>
      <x:c r="J104" s="138"/>
      <x:c r="K104" s="138"/>
      <x:c r="L104" s="138"/>
      <x:c r="M104" s="138"/>
      <x:c r="N104" s="138"/>
      <x:c r="O104" s="138"/>
      <x:c r="P104" s="138"/>
      <x:c r="Q104" s="138"/>
      <x:c r="R104" s="138"/>
      <x:c r="S104" s="138"/>
      <x:c r="T104" s="138"/>
      <x:c r="U104" s="138"/>
      <x:c r="V104" s="138"/>
      <x:c r="W104" s="138"/>
      <x:c r="X104" s="138"/>
      <x:c r="Y104" s="138"/>
      <x:c r="Z104" s="138"/>
    </x:row>
    <x:row r="105">
      <x:c r="A105" s="138"/>
      <x:c r="B105" s="138"/>
      <x:c r="C105" s="138"/>
      <x:c r="D105" s="138"/>
      <x:c r="E105" s="138"/>
      <x:c r="F105" s="138"/>
      <x:c r="G105" s="138"/>
      <x:c r="H105" s="138"/>
      <x:c r="I105" s="138"/>
      <x:c r="J105" s="138"/>
      <x:c r="K105" s="138"/>
      <x:c r="L105" s="138"/>
      <x:c r="M105" s="138"/>
      <x:c r="N105" s="138"/>
      <x:c r="O105" s="138"/>
      <x:c r="P105" s="138"/>
      <x:c r="Q105" s="138"/>
      <x:c r="R105" s="138"/>
      <x:c r="S105" s="138"/>
      <x:c r="T105" s="138"/>
      <x:c r="U105" s="138"/>
      <x:c r="V105" s="138"/>
      <x:c r="W105" s="138"/>
      <x:c r="X105" s="138"/>
      <x:c r="Y105" s="138"/>
      <x:c r="Z105" s="138"/>
    </x:row>
    <x:row r="106">
      <x:c r="A106" s="138"/>
      <x:c r="B106" s="138"/>
      <x:c r="C106" s="138"/>
      <x:c r="D106" s="138"/>
      <x:c r="E106" s="138"/>
      <x:c r="F106" s="138"/>
      <x:c r="G106" s="138"/>
      <x:c r="H106" s="138"/>
      <x:c r="I106" s="138"/>
      <x:c r="J106" s="138"/>
      <x:c r="K106" s="138"/>
      <x:c r="L106" s="138"/>
      <x:c r="M106" s="138"/>
      <x:c r="N106" s="138"/>
      <x:c r="O106" s="138"/>
      <x:c r="P106" s="138"/>
      <x:c r="Q106" s="138"/>
      <x:c r="R106" s="138"/>
      <x:c r="S106" s="138"/>
      <x:c r="T106" s="138"/>
      <x:c r="U106" s="138"/>
      <x:c r="V106" s="138"/>
      <x:c r="W106" s="138"/>
      <x:c r="X106" s="138"/>
      <x:c r="Y106" s="138"/>
      <x:c r="Z106" s="138"/>
    </x:row>
    <x:row r="107">
      <x:c r="A107" s="138"/>
      <x:c r="B107" s="138"/>
      <x:c r="C107" s="138"/>
      <x:c r="D107" s="138"/>
      <x:c r="E107" s="138"/>
      <x:c r="F107" s="138"/>
      <x:c r="G107" s="138"/>
      <x:c r="H107" s="138"/>
      <x:c r="I107" s="138"/>
      <x:c r="J107" s="138"/>
      <x:c r="K107" s="138"/>
      <x:c r="L107" s="138"/>
      <x:c r="M107" s="138"/>
      <x:c r="N107" s="138"/>
      <x:c r="O107" s="138"/>
      <x:c r="P107" s="138"/>
      <x:c r="Q107" s="138"/>
      <x:c r="R107" s="138"/>
      <x:c r="S107" s="138"/>
      <x:c r="T107" s="138"/>
      <x:c r="U107" s="138"/>
      <x:c r="V107" s="138"/>
      <x:c r="W107" s="138"/>
      <x:c r="X107" s="138"/>
      <x:c r="Y107" s="138"/>
      <x:c r="Z107" s="138"/>
    </x:row>
    <x:row r="108">
      <x:c r="A108" s="138"/>
      <x:c r="B108" s="138"/>
      <x:c r="C108" s="138"/>
      <x:c r="D108" s="138"/>
      <x:c r="E108" s="138"/>
      <x:c r="F108" s="138"/>
      <x:c r="G108" s="138"/>
      <x:c r="H108" s="138"/>
      <x:c r="I108" s="138"/>
      <x:c r="J108" s="138"/>
      <x:c r="K108" s="138"/>
      <x:c r="L108" s="138"/>
      <x:c r="M108" s="138"/>
      <x:c r="N108" s="138"/>
      <x:c r="O108" s="138"/>
      <x:c r="P108" s="138"/>
      <x:c r="Q108" s="138"/>
      <x:c r="R108" s="138"/>
      <x:c r="S108" s="138"/>
      <x:c r="T108" s="138"/>
      <x:c r="U108" s="138"/>
      <x:c r="V108" s="138"/>
      <x:c r="W108" s="138"/>
      <x:c r="X108" s="138"/>
      <x:c r="Y108" s="138"/>
      <x:c r="Z108" s="138"/>
    </x:row>
    <x:row r="109">
      <x:c r="A109" s="138"/>
      <x:c r="B109" s="138"/>
      <x:c r="C109" s="138"/>
      <x:c r="D109" s="138"/>
      <x:c r="E109" s="138"/>
      <x:c r="F109" s="138"/>
      <x:c r="G109" s="138"/>
      <x:c r="H109" s="138"/>
      <x:c r="I109" s="138"/>
      <x:c r="J109" s="138"/>
      <x:c r="K109" s="138"/>
      <x:c r="L109" s="138"/>
      <x:c r="M109" s="138"/>
      <x:c r="N109" s="138"/>
      <x:c r="O109" s="138"/>
      <x:c r="P109" s="138"/>
      <x:c r="Q109" s="138"/>
      <x:c r="R109" s="138"/>
      <x:c r="S109" s="138"/>
      <x:c r="T109" s="138"/>
      <x:c r="U109" s="138"/>
      <x:c r="V109" s="138"/>
      <x:c r="W109" s="138"/>
      <x:c r="X109" s="138"/>
      <x:c r="Y109" s="138"/>
      <x:c r="Z109" s="138"/>
    </x:row>
    <x:row r="110">
      <x:c r="A110" s="138"/>
      <x:c r="B110" s="138"/>
      <x:c r="C110" s="138"/>
      <x:c r="D110" s="138"/>
      <x:c r="E110" s="138"/>
      <x:c r="F110" s="138"/>
      <x:c r="G110" s="138"/>
      <x:c r="H110" s="138"/>
      <x:c r="I110" s="138"/>
      <x:c r="J110" s="138"/>
      <x:c r="K110" s="138"/>
      <x:c r="L110" s="138"/>
      <x:c r="M110" s="138"/>
      <x:c r="N110" s="138"/>
      <x:c r="O110" s="138"/>
      <x:c r="P110" s="138"/>
      <x:c r="Q110" s="138"/>
      <x:c r="R110" s="138"/>
      <x:c r="S110" s="138"/>
      <x:c r="T110" s="138"/>
      <x:c r="U110" s="138"/>
      <x:c r="V110" s="138"/>
      <x:c r="W110" s="138"/>
      <x:c r="X110" s="138"/>
      <x:c r="Y110" s="138"/>
      <x:c r="Z110" s="138"/>
    </x:row>
    <x:row r="111">
      <x:c r="A111" s="138"/>
      <x:c r="B111" s="138"/>
      <x:c r="C111" s="138"/>
      <x:c r="D111" s="138"/>
      <x:c r="E111" s="138"/>
      <x:c r="F111" s="138"/>
      <x:c r="G111" s="138"/>
      <x:c r="H111" s="138"/>
      <x:c r="I111" s="138"/>
      <x:c r="J111" s="138"/>
      <x:c r="K111" s="138"/>
      <x:c r="L111" s="138"/>
      <x:c r="M111" s="138"/>
      <x:c r="N111" s="138"/>
      <x:c r="O111" s="138"/>
      <x:c r="P111" s="138"/>
      <x:c r="Q111" s="138"/>
      <x:c r="R111" s="138"/>
      <x:c r="S111" s="138"/>
      <x:c r="T111" s="138"/>
      <x:c r="U111" s="138"/>
      <x:c r="V111" s="138"/>
      <x:c r="W111" s="138"/>
      <x:c r="X111" s="138"/>
      <x:c r="Y111" s="138"/>
      <x:c r="Z111" s="138"/>
    </x:row>
    <x:row r="112">
      <x:c r="A112" s="138"/>
      <x:c r="B112" s="138"/>
      <x:c r="C112" s="138"/>
      <x:c r="D112" s="138"/>
      <x:c r="E112" s="138"/>
      <x:c r="F112" s="138"/>
      <x:c r="G112" s="138"/>
      <x:c r="H112" s="138"/>
      <x:c r="I112" s="138"/>
      <x:c r="J112" s="138"/>
      <x:c r="K112" s="138"/>
      <x:c r="L112" s="138"/>
      <x:c r="M112" s="138"/>
      <x:c r="N112" s="138"/>
      <x:c r="O112" s="138"/>
      <x:c r="P112" s="138"/>
      <x:c r="Q112" s="138"/>
      <x:c r="R112" s="138"/>
      <x:c r="S112" s="138"/>
      <x:c r="T112" s="138"/>
      <x:c r="U112" s="138"/>
      <x:c r="V112" s="138"/>
      <x:c r="W112" s="138"/>
      <x:c r="X112" s="138"/>
      <x:c r="Y112" s="138"/>
      <x:c r="Z112" s="138"/>
    </x:row>
    <x:row r="113">
      <x:c r="A113" s="138"/>
      <x:c r="B113" s="138"/>
      <x:c r="C113" s="138"/>
      <x:c r="D113" s="138"/>
      <x:c r="E113" s="138"/>
      <x:c r="F113" s="138"/>
      <x:c r="G113" s="138"/>
      <x:c r="H113" s="138"/>
      <x:c r="I113" s="138"/>
      <x:c r="J113" s="138"/>
      <x:c r="K113" s="138"/>
      <x:c r="L113" s="138"/>
      <x:c r="M113" s="138"/>
      <x:c r="N113" s="138"/>
      <x:c r="O113" s="138"/>
      <x:c r="P113" s="138"/>
      <x:c r="Q113" s="138"/>
      <x:c r="R113" s="138"/>
      <x:c r="S113" s="138"/>
      <x:c r="T113" s="138"/>
      <x:c r="U113" s="138"/>
      <x:c r="V113" s="138"/>
      <x:c r="W113" s="138"/>
      <x:c r="X113" s="138"/>
      <x:c r="Y113" s="138"/>
      <x:c r="Z113" s="138"/>
    </x:row>
    <x:row r="114">
      <x:c r="A114" s="138"/>
      <x:c r="B114" s="138"/>
      <x:c r="C114" s="138"/>
      <x:c r="D114" s="138"/>
      <x:c r="E114" s="138"/>
      <x:c r="F114" s="138"/>
      <x:c r="G114" s="138"/>
      <x:c r="H114" s="138"/>
      <x:c r="I114" s="138"/>
      <x:c r="J114" s="138"/>
      <x:c r="K114" s="138"/>
      <x:c r="L114" s="138"/>
      <x:c r="M114" s="138"/>
      <x:c r="N114" s="138"/>
      <x:c r="O114" s="138"/>
      <x:c r="P114" s="138"/>
      <x:c r="Q114" s="138"/>
      <x:c r="R114" s="138"/>
      <x:c r="S114" s="138"/>
      <x:c r="T114" s="138"/>
      <x:c r="U114" s="138"/>
      <x:c r="V114" s="138"/>
      <x:c r="W114" s="138"/>
      <x:c r="X114" s="138"/>
      <x:c r="Y114" s="138"/>
      <x:c r="Z114" s="138"/>
    </x:row>
    <x:row r="115">
      <x:c r="A115" s="138"/>
      <x:c r="B115" s="138"/>
      <x:c r="C115" s="138"/>
      <x:c r="D115" s="138"/>
      <x:c r="E115" s="138"/>
      <x:c r="F115" s="138"/>
      <x:c r="G115" s="138"/>
      <x:c r="H115" s="138"/>
      <x:c r="I115" s="138"/>
      <x:c r="J115" s="138"/>
      <x:c r="K115" s="138"/>
      <x:c r="L115" s="138"/>
      <x:c r="M115" s="138"/>
      <x:c r="N115" s="138"/>
      <x:c r="O115" s="138"/>
      <x:c r="P115" s="138"/>
      <x:c r="Q115" s="138"/>
      <x:c r="R115" s="138"/>
      <x:c r="S115" s="138"/>
      <x:c r="T115" s="138"/>
      <x:c r="U115" s="138"/>
      <x:c r="V115" s="138"/>
      <x:c r="W115" s="138"/>
      <x:c r="X115" s="138"/>
      <x:c r="Y115" s="138"/>
      <x:c r="Z115" s="138"/>
    </x:row>
    <x:row r="116">
      <x:c r="A116" s="138"/>
      <x:c r="B116" s="138"/>
      <x:c r="C116" s="138"/>
      <x:c r="D116" s="138"/>
      <x:c r="E116" s="138"/>
      <x:c r="F116" s="138"/>
      <x:c r="G116" s="138"/>
      <x:c r="H116" s="138"/>
      <x:c r="I116" s="138"/>
      <x:c r="J116" s="138"/>
      <x:c r="K116" s="138"/>
      <x:c r="L116" s="138"/>
      <x:c r="M116" s="138"/>
      <x:c r="N116" s="138"/>
      <x:c r="O116" s="138"/>
      <x:c r="P116" s="138"/>
      <x:c r="Q116" s="138"/>
      <x:c r="R116" s="138"/>
      <x:c r="S116" s="138"/>
      <x:c r="T116" s="138"/>
      <x:c r="U116" s="138"/>
      <x:c r="V116" s="138"/>
      <x:c r="W116" s="138"/>
      <x:c r="X116" s="138"/>
      <x:c r="Y116" s="138"/>
      <x:c r="Z116" s="138"/>
    </x:row>
    <x:row r="117">
      <x:c r="A117" s="138"/>
      <x:c r="B117" s="138"/>
      <x:c r="C117" s="138"/>
      <x:c r="D117" s="138"/>
      <x:c r="E117" s="138"/>
      <x:c r="F117" s="138"/>
      <x:c r="G117" s="138"/>
      <x:c r="H117" s="138"/>
      <x:c r="I117" s="138"/>
      <x:c r="J117" s="138"/>
      <x:c r="K117" s="138"/>
      <x:c r="L117" s="138"/>
      <x:c r="M117" s="138"/>
      <x:c r="N117" s="138"/>
      <x:c r="O117" s="138"/>
      <x:c r="P117" s="138"/>
      <x:c r="Q117" s="138"/>
      <x:c r="R117" s="138"/>
      <x:c r="S117" s="138"/>
      <x:c r="T117" s="138"/>
      <x:c r="U117" s="138"/>
      <x:c r="V117" s="138"/>
      <x:c r="W117" s="138"/>
      <x:c r="X117" s="138"/>
      <x:c r="Y117" s="138"/>
      <x:c r="Z117" s="138"/>
    </x:row>
    <x:row r="118">
      <x:c r="A118" s="138"/>
      <x:c r="B118" s="138"/>
      <x:c r="C118" s="138"/>
      <x:c r="D118" s="138"/>
      <x:c r="E118" s="138"/>
      <x:c r="F118" s="138"/>
      <x:c r="G118" s="138"/>
      <x:c r="H118" s="138"/>
      <x:c r="I118" s="138"/>
      <x:c r="J118" s="138"/>
      <x:c r="K118" s="138"/>
      <x:c r="L118" s="138"/>
      <x:c r="M118" s="138"/>
      <x:c r="N118" s="138"/>
      <x:c r="O118" s="138"/>
      <x:c r="P118" s="138"/>
      <x:c r="Q118" s="138"/>
      <x:c r="R118" s="138"/>
      <x:c r="S118" s="138"/>
      <x:c r="T118" s="138"/>
      <x:c r="U118" s="138"/>
      <x:c r="V118" s="138"/>
      <x:c r="W118" s="138"/>
      <x:c r="X118" s="138"/>
      <x:c r="Y118" s="138"/>
      <x:c r="Z118" s="138"/>
    </x:row>
    <x:row r="119">
      <x:c r="A119" s="138"/>
      <x:c r="B119" s="138"/>
      <x:c r="C119" s="138"/>
      <x:c r="D119" s="138"/>
      <x:c r="E119" s="138"/>
      <x:c r="F119" s="138"/>
      <x:c r="G119" s="138"/>
      <x:c r="H119" s="138"/>
      <x:c r="I119" s="138"/>
      <x:c r="J119" s="138"/>
      <x:c r="K119" s="138"/>
      <x:c r="L119" s="138"/>
      <x:c r="M119" s="138"/>
      <x:c r="N119" s="138"/>
      <x:c r="O119" s="138"/>
      <x:c r="P119" s="138"/>
      <x:c r="Q119" s="138"/>
      <x:c r="R119" s="138"/>
      <x:c r="S119" s="138"/>
      <x:c r="T119" s="138"/>
      <x:c r="U119" s="138"/>
      <x:c r="V119" s="138"/>
      <x:c r="W119" s="138"/>
      <x:c r="X119" s="138"/>
      <x:c r="Y119" s="138"/>
      <x:c r="Z119" s="138"/>
    </x:row>
    <x:row r="120">
      <x:c r="A120" s="138"/>
      <x:c r="B120" s="138"/>
      <x:c r="C120" s="138"/>
      <x:c r="D120" s="138"/>
      <x:c r="E120" s="138"/>
      <x:c r="F120" s="138"/>
      <x:c r="G120" s="138"/>
      <x:c r="H120" s="138"/>
      <x:c r="I120" s="138"/>
      <x:c r="J120" s="138"/>
      <x:c r="K120" s="138"/>
      <x:c r="L120" s="138"/>
      <x:c r="M120" s="138"/>
      <x:c r="N120" s="138"/>
      <x:c r="O120" s="138"/>
      <x:c r="P120" s="138"/>
      <x:c r="Q120" s="138"/>
      <x:c r="R120" s="138"/>
      <x:c r="S120" s="138"/>
      <x:c r="T120" s="138"/>
      <x:c r="U120" s="138"/>
      <x:c r="V120" s="138"/>
      <x:c r="W120" s="138"/>
      <x:c r="X120" s="138"/>
      <x:c r="Y120" s="138"/>
      <x:c r="Z120" s="138"/>
    </x:row>
    <x:row r="121">
      <x:c r="A121" s="138"/>
      <x:c r="B121" s="138"/>
      <x:c r="C121" s="138"/>
      <x:c r="D121" s="138"/>
      <x:c r="E121" s="138"/>
      <x:c r="F121" s="138"/>
      <x:c r="G121" s="138"/>
      <x:c r="H121" s="138"/>
      <x:c r="I121" s="138"/>
      <x:c r="J121" s="138"/>
      <x:c r="K121" s="138"/>
      <x:c r="L121" s="138"/>
      <x:c r="M121" s="138"/>
      <x:c r="N121" s="138"/>
      <x:c r="O121" s="138"/>
      <x:c r="P121" s="138"/>
      <x:c r="Q121" s="138"/>
      <x:c r="R121" s="138"/>
      <x:c r="S121" s="138"/>
      <x:c r="T121" s="138"/>
      <x:c r="U121" s="138"/>
      <x:c r="V121" s="138"/>
      <x:c r="W121" s="138"/>
      <x:c r="X121" s="138"/>
      <x:c r="Y121" s="138"/>
      <x:c r="Z121" s="138"/>
    </x:row>
    <x:row r="122">
      <x:c r="A122" s="138"/>
      <x:c r="B122" s="138"/>
      <x:c r="C122" s="138"/>
      <x:c r="D122" s="138"/>
      <x:c r="E122" s="138"/>
      <x:c r="F122" s="138"/>
      <x:c r="G122" s="138"/>
      <x:c r="H122" s="138"/>
      <x:c r="I122" s="138"/>
      <x:c r="J122" s="138"/>
      <x:c r="K122" s="138"/>
      <x:c r="L122" s="138"/>
      <x:c r="M122" s="138"/>
      <x:c r="N122" s="138"/>
      <x:c r="O122" s="138"/>
      <x:c r="P122" s="138"/>
      <x:c r="Q122" s="138"/>
      <x:c r="R122" s="138"/>
      <x:c r="S122" s="138"/>
      <x:c r="T122" s="138"/>
      <x:c r="U122" s="138"/>
      <x:c r="V122" s="138"/>
      <x:c r="W122" s="138"/>
      <x:c r="X122" s="138"/>
      <x:c r="Y122" s="138"/>
      <x:c r="Z122" s="138"/>
    </x:row>
    <x:row r="123">
      <x:c r="A123" s="138"/>
      <x:c r="B123" s="138"/>
      <x:c r="C123" s="138"/>
      <x:c r="D123" s="138"/>
      <x:c r="E123" s="138"/>
      <x:c r="F123" s="138"/>
      <x:c r="G123" s="138"/>
      <x:c r="H123" s="138"/>
      <x:c r="I123" s="138"/>
      <x:c r="J123" s="138"/>
      <x:c r="K123" s="138"/>
      <x:c r="L123" s="138"/>
      <x:c r="M123" s="138"/>
      <x:c r="N123" s="138"/>
      <x:c r="O123" s="138"/>
      <x:c r="P123" s="138"/>
      <x:c r="Q123" s="138"/>
      <x:c r="R123" s="138"/>
      <x:c r="S123" s="138"/>
      <x:c r="T123" s="138"/>
      <x:c r="U123" s="138"/>
      <x:c r="V123" s="138"/>
      <x:c r="W123" s="138"/>
      <x:c r="X123" s="138"/>
      <x:c r="Y123" s="138"/>
      <x:c r="Z123" s="138"/>
    </x:row>
    <x:row r="124">
      <x:c r="A124" s="138"/>
      <x:c r="B124" s="138"/>
      <x:c r="C124" s="138"/>
      <x:c r="D124" s="138"/>
      <x:c r="E124" s="138"/>
      <x:c r="F124" s="138"/>
      <x:c r="G124" s="138"/>
      <x:c r="H124" s="138"/>
      <x:c r="I124" s="138"/>
      <x:c r="J124" s="138"/>
      <x:c r="K124" s="138"/>
      <x:c r="L124" s="138"/>
      <x:c r="M124" s="138"/>
      <x:c r="N124" s="138"/>
      <x:c r="O124" s="138"/>
      <x:c r="P124" s="138"/>
      <x:c r="Q124" s="138"/>
      <x:c r="R124" s="138"/>
      <x:c r="S124" s="138"/>
      <x:c r="T124" s="138"/>
      <x:c r="U124" s="138"/>
      <x:c r="V124" s="138"/>
      <x:c r="W124" s="138"/>
      <x:c r="X124" s="138"/>
      <x:c r="Y124" s="138"/>
      <x:c r="Z124" s="138"/>
    </x:row>
    <x:row r="125">
      <x:c r="A125" s="138"/>
      <x:c r="B125" s="138"/>
      <x:c r="C125" s="138"/>
      <x:c r="D125" s="138"/>
      <x:c r="E125" s="138"/>
      <x:c r="F125" s="138"/>
      <x:c r="G125" s="138"/>
      <x:c r="H125" s="138"/>
      <x:c r="I125" s="138"/>
      <x:c r="J125" s="138"/>
      <x:c r="K125" s="138"/>
      <x:c r="L125" s="138"/>
      <x:c r="M125" s="138"/>
      <x:c r="N125" s="138"/>
      <x:c r="O125" s="138"/>
      <x:c r="P125" s="138"/>
      <x:c r="Q125" s="138"/>
      <x:c r="R125" s="138"/>
      <x:c r="S125" s="138"/>
      <x:c r="T125" s="138"/>
      <x:c r="U125" s="138"/>
      <x:c r="V125" s="138"/>
      <x:c r="W125" s="138"/>
      <x:c r="X125" s="138"/>
      <x:c r="Y125" s="138"/>
      <x:c r="Z125" s="138"/>
    </x:row>
    <x:row r="126">
      <x:c r="A126" s="138"/>
      <x:c r="B126" s="138"/>
      <x:c r="C126" s="138"/>
      <x:c r="D126" s="138"/>
      <x:c r="E126" s="138"/>
      <x:c r="F126" s="138"/>
      <x:c r="G126" s="138"/>
      <x:c r="H126" s="138"/>
      <x:c r="I126" s="138"/>
      <x:c r="J126" s="138"/>
      <x:c r="K126" s="138"/>
      <x:c r="L126" s="138"/>
      <x:c r="M126" s="138"/>
      <x:c r="N126" s="138"/>
      <x:c r="O126" s="138"/>
      <x:c r="P126" s="138"/>
      <x:c r="Q126" s="138"/>
      <x:c r="R126" s="138"/>
      <x:c r="S126" s="138"/>
      <x:c r="T126" s="138"/>
      <x:c r="U126" s="138"/>
      <x:c r="V126" s="138"/>
      <x:c r="W126" s="138"/>
      <x:c r="X126" s="138"/>
      <x:c r="Y126" s="138"/>
      <x:c r="Z126" s="138"/>
    </x:row>
    <x:row r="127">
      <x:c r="A127" s="138"/>
      <x:c r="B127" s="138"/>
      <x:c r="C127" s="138"/>
      <x:c r="D127" s="138"/>
      <x:c r="E127" s="138"/>
      <x:c r="F127" s="138"/>
      <x:c r="G127" s="138"/>
      <x:c r="H127" s="138"/>
      <x:c r="I127" s="138"/>
      <x:c r="J127" s="138"/>
      <x:c r="K127" s="138"/>
      <x:c r="L127" s="138"/>
      <x:c r="M127" s="138"/>
      <x:c r="N127" s="138"/>
      <x:c r="O127" s="138"/>
      <x:c r="P127" s="138"/>
      <x:c r="Q127" s="138"/>
      <x:c r="R127" s="138"/>
      <x:c r="S127" s="138"/>
      <x:c r="T127" s="138"/>
      <x:c r="U127" s="138"/>
      <x:c r="V127" s="138"/>
      <x:c r="W127" s="138"/>
      <x:c r="X127" s="138"/>
      <x:c r="Y127" s="138"/>
      <x:c r="Z127" s="138"/>
    </x:row>
    <x:row r="128">
      <x:c r="A128" s="138"/>
      <x:c r="B128" s="138"/>
      <x:c r="C128" s="138"/>
      <x:c r="D128" s="138"/>
      <x:c r="E128" s="138"/>
      <x:c r="F128" s="138"/>
      <x:c r="G128" s="138"/>
      <x:c r="H128" s="138"/>
      <x:c r="I128" s="138"/>
      <x:c r="J128" s="138"/>
      <x:c r="K128" s="138"/>
      <x:c r="L128" s="138"/>
      <x:c r="M128" s="138"/>
      <x:c r="N128" s="138"/>
      <x:c r="O128" s="138"/>
      <x:c r="P128" s="138"/>
      <x:c r="Q128" s="138"/>
      <x:c r="R128" s="138"/>
      <x:c r="S128" s="138"/>
      <x:c r="T128" s="138"/>
      <x:c r="U128" s="138"/>
      <x:c r="V128" s="138"/>
      <x:c r="W128" s="138"/>
      <x:c r="X128" s="138"/>
      <x:c r="Y128" s="138"/>
      <x:c r="Z128" s="138"/>
    </x:row>
    <x:row r="129">
      <x:c r="A129" s="138"/>
      <x:c r="B129" s="138"/>
      <x:c r="C129" s="138"/>
      <x:c r="D129" s="138"/>
      <x:c r="E129" s="138"/>
      <x:c r="F129" s="138"/>
      <x:c r="G129" s="138"/>
      <x:c r="H129" s="138"/>
      <x:c r="I129" s="138"/>
      <x:c r="J129" s="138"/>
      <x:c r="K129" s="138"/>
      <x:c r="L129" s="138"/>
      <x:c r="M129" s="138"/>
      <x:c r="N129" s="138"/>
      <x:c r="O129" s="138"/>
      <x:c r="P129" s="138"/>
      <x:c r="Q129" s="138"/>
      <x:c r="R129" s="138"/>
      <x:c r="S129" s="138"/>
      <x:c r="T129" s="138"/>
      <x:c r="U129" s="138"/>
      <x:c r="V129" s="138"/>
      <x:c r="W129" s="138"/>
      <x:c r="X129" s="138"/>
      <x:c r="Y129" s="138"/>
      <x:c r="Z129" s="138"/>
    </x:row>
    <x:row r="130">
      <x:c r="A130" s="138"/>
      <x:c r="B130" s="138"/>
      <x:c r="C130" s="138"/>
      <x:c r="D130" s="138"/>
      <x:c r="E130" s="138"/>
      <x:c r="F130" s="138"/>
      <x:c r="G130" s="138"/>
      <x:c r="H130" s="138"/>
      <x:c r="I130" s="138"/>
      <x:c r="J130" s="138"/>
      <x:c r="K130" s="138"/>
      <x:c r="L130" s="138"/>
      <x:c r="M130" s="138"/>
      <x:c r="N130" s="138"/>
      <x:c r="O130" s="138"/>
      <x:c r="P130" s="138"/>
      <x:c r="Q130" s="138"/>
      <x:c r="R130" s="138"/>
      <x:c r="S130" s="138"/>
      <x:c r="T130" s="138"/>
      <x:c r="U130" s="138"/>
      <x:c r="V130" s="138"/>
      <x:c r="W130" s="138"/>
      <x:c r="X130" s="138"/>
      <x:c r="Y130" s="138"/>
      <x:c r="Z130" s="138"/>
    </x:row>
    <x:row r="131">
      <x:c r="A131" s="138"/>
      <x:c r="B131" s="138"/>
      <x:c r="C131" s="138"/>
      <x:c r="D131" s="138"/>
      <x:c r="E131" s="138"/>
      <x:c r="F131" s="138"/>
      <x:c r="G131" s="138"/>
      <x:c r="H131" s="138"/>
      <x:c r="I131" s="138"/>
      <x:c r="J131" s="138"/>
      <x:c r="K131" s="138"/>
      <x:c r="L131" s="138"/>
      <x:c r="M131" s="138"/>
      <x:c r="N131" s="138"/>
      <x:c r="O131" s="138"/>
      <x:c r="P131" s="138"/>
      <x:c r="Q131" s="138"/>
      <x:c r="R131" s="138"/>
      <x:c r="S131" s="138"/>
      <x:c r="T131" s="138"/>
      <x:c r="U131" s="138"/>
      <x:c r="V131" s="138"/>
      <x:c r="W131" s="138"/>
      <x:c r="X131" s="138"/>
      <x:c r="Y131" s="138"/>
      <x:c r="Z131" s="138"/>
    </x:row>
    <x:row r="132">
      <x:c r="A132" s="138"/>
      <x:c r="B132" s="138"/>
      <x:c r="C132" s="138"/>
      <x:c r="D132" s="138"/>
      <x:c r="E132" s="138"/>
      <x:c r="F132" s="138"/>
      <x:c r="G132" s="138"/>
      <x:c r="H132" s="138"/>
      <x:c r="I132" s="138"/>
      <x:c r="J132" s="138"/>
      <x:c r="K132" s="138"/>
      <x:c r="L132" s="138"/>
      <x:c r="M132" s="138"/>
      <x:c r="N132" s="138"/>
      <x:c r="O132" s="138"/>
      <x:c r="P132" s="138"/>
      <x:c r="Q132" s="138"/>
      <x:c r="R132" s="138"/>
      <x:c r="S132" s="138"/>
      <x:c r="T132" s="138"/>
      <x:c r="U132" s="138"/>
      <x:c r="V132" s="138"/>
      <x:c r="W132" s="138"/>
      <x:c r="X132" s="138"/>
      <x:c r="Y132" s="138"/>
      <x:c r="Z132" s="138"/>
    </x:row>
    <x:row r="133">
      <x:c r="A133" s="138"/>
      <x:c r="B133" s="138"/>
      <x:c r="C133" s="138"/>
      <x:c r="D133" s="138"/>
      <x:c r="E133" s="138"/>
      <x:c r="F133" s="138"/>
      <x:c r="G133" s="138"/>
      <x:c r="H133" s="138"/>
      <x:c r="I133" s="138"/>
      <x:c r="J133" s="138"/>
      <x:c r="K133" s="138"/>
      <x:c r="L133" s="138"/>
      <x:c r="M133" s="138"/>
      <x:c r="N133" s="138"/>
      <x:c r="O133" s="138"/>
      <x:c r="P133" s="138"/>
      <x:c r="Q133" s="138"/>
      <x:c r="R133" s="138"/>
      <x:c r="S133" s="138"/>
      <x:c r="T133" s="138"/>
      <x:c r="U133" s="138"/>
      <x:c r="V133" s="138"/>
      <x:c r="W133" s="138"/>
      <x:c r="X133" s="138"/>
      <x:c r="Y133" s="138"/>
      <x:c r="Z133" s="138"/>
    </x:row>
    <x:row r="134">
      <x:c r="A134" s="138"/>
      <x:c r="B134" s="138"/>
      <x:c r="C134" s="138"/>
      <x:c r="D134" s="138"/>
      <x:c r="E134" s="138"/>
      <x:c r="F134" s="138"/>
      <x:c r="G134" s="138"/>
      <x:c r="H134" s="138"/>
      <x:c r="I134" s="138"/>
      <x:c r="J134" s="138"/>
      <x:c r="K134" s="138"/>
      <x:c r="L134" s="138"/>
      <x:c r="M134" s="138"/>
      <x:c r="N134" s="138"/>
      <x:c r="O134" s="138"/>
      <x:c r="P134" s="138"/>
      <x:c r="Q134" s="138"/>
      <x:c r="R134" s="138"/>
      <x:c r="S134" s="138"/>
      <x:c r="T134" s="138"/>
      <x:c r="U134" s="138"/>
      <x:c r="V134" s="138"/>
      <x:c r="W134" s="138"/>
      <x:c r="X134" s="138"/>
      <x:c r="Y134" s="138"/>
      <x:c r="Z134" s="138"/>
    </x:row>
    <x:row r="135">
      <x:c r="A135" s="138"/>
      <x:c r="B135" s="138"/>
      <x:c r="C135" s="138"/>
      <x:c r="D135" s="138"/>
      <x:c r="E135" s="138"/>
      <x:c r="F135" s="138"/>
      <x:c r="G135" s="138"/>
      <x:c r="H135" s="138"/>
      <x:c r="I135" s="138"/>
      <x:c r="J135" s="138"/>
      <x:c r="K135" s="138"/>
      <x:c r="L135" s="138"/>
      <x:c r="M135" s="138"/>
      <x:c r="N135" s="138"/>
      <x:c r="O135" s="138"/>
      <x:c r="P135" s="138"/>
      <x:c r="Q135" s="138"/>
      <x:c r="R135" s="138"/>
      <x:c r="S135" s="138"/>
      <x:c r="T135" s="138"/>
      <x:c r="U135" s="138"/>
      <x:c r="V135" s="138"/>
      <x:c r="W135" s="138"/>
      <x:c r="X135" s="138"/>
      <x:c r="Y135" s="138"/>
      <x:c r="Z135" s="138"/>
    </x:row>
    <x:row r="136">
      <x:c r="A136" s="138"/>
      <x:c r="B136" s="138"/>
      <x:c r="C136" s="138"/>
      <x:c r="D136" s="138"/>
      <x:c r="E136" s="138"/>
      <x:c r="F136" s="138"/>
      <x:c r="G136" s="138"/>
      <x:c r="H136" s="138"/>
      <x:c r="I136" s="138"/>
      <x:c r="J136" s="138"/>
      <x:c r="K136" s="138"/>
      <x:c r="L136" s="138"/>
      <x:c r="M136" s="138"/>
      <x:c r="N136" s="138"/>
      <x:c r="O136" s="138"/>
      <x:c r="P136" s="138"/>
      <x:c r="Q136" s="138"/>
      <x:c r="R136" s="138"/>
      <x:c r="S136" s="138"/>
      <x:c r="T136" s="138"/>
      <x:c r="U136" s="138"/>
      <x:c r="V136" s="138"/>
      <x:c r="W136" s="138"/>
      <x:c r="X136" s="138"/>
      <x:c r="Y136" s="138"/>
      <x:c r="Z136" s="138"/>
    </x:row>
    <x:row r="137">
      <x:c r="A137" s="138"/>
      <x:c r="B137" s="138"/>
      <x:c r="C137" s="138"/>
      <x:c r="D137" s="138"/>
      <x:c r="E137" s="138"/>
      <x:c r="F137" s="138"/>
      <x:c r="G137" s="138"/>
      <x:c r="H137" s="138"/>
      <x:c r="I137" s="138"/>
      <x:c r="J137" s="138"/>
      <x:c r="K137" s="138"/>
      <x:c r="L137" s="138"/>
      <x:c r="M137" s="138"/>
      <x:c r="N137" s="138"/>
      <x:c r="O137" s="138"/>
      <x:c r="P137" s="138"/>
      <x:c r="Q137" s="138"/>
      <x:c r="R137" s="138"/>
      <x:c r="S137" s="138"/>
      <x:c r="T137" s="138"/>
      <x:c r="U137" s="138"/>
      <x:c r="V137" s="138"/>
      <x:c r="W137" s="138"/>
      <x:c r="X137" s="138"/>
      <x:c r="Y137" s="138"/>
      <x:c r="Z137" s="138"/>
    </x:row>
    <x:row r="138">
      <x:c r="A138" s="138"/>
      <x:c r="B138" s="138"/>
      <x:c r="C138" s="138"/>
      <x:c r="D138" s="138"/>
      <x:c r="E138" s="138"/>
      <x:c r="F138" s="138"/>
      <x:c r="G138" s="138"/>
      <x:c r="H138" s="138"/>
      <x:c r="I138" s="138"/>
      <x:c r="J138" s="138"/>
      <x:c r="K138" s="138"/>
      <x:c r="L138" s="138"/>
      <x:c r="M138" s="138"/>
      <x:c r="N138" s="138"/>
      <x:c r="O138" s="138"/>
      <x:c r="P138" s="138"/>
      <x:c r="Q138" s="138"/>
      <x:c r="R138" s="138"/>
      <x:c r="S138" s="138"/>
      <x:c r="T138" s="138"/>
      <x:c r="U138" s="138"/>
      <x:c r="V138" s="138"/>
      <x:c r="W138" s="138"/>
      <x:c r="X138" s="138"/>
      <x:c r="Y138" s="138"/>
      <x:c r="Z138" s="138"/>
    </x:row>
    <x:row r="139">
      <x:c r="A139" s="138"/>
      <x:c r="B139" s="138"/>
      <x:c r="C139" s="138"/>
      <x:c r="D139" s="138"/>
      <x:c r="E139" s="138"/>
      <x:c r="F139" s="138"/>
      <x:c r="G139" s="138"/>
      <x:c r="H139" s="138"/>
      <x:c r="I139" s="138"/>
      <x:c r="J139" s="138"/>
      <x:c r="K139" s="138"/>
      <x:c r="L139" s="138"/>
      <x:c r="M139" s="138"/>
      <x:c r="N139" s="138"/>
      <x:c r="O139" s="138"/>
      <x:c r="P139" s="138"/>
      <x:c r="Q139" s="138"/>
      <x:c r="R139" s="138"/>
      <x:c r="S139" s="138"/>
      <x:c r="T139" s="138"/>
      <x:c r="U139" s="138"/>
      <x:c r="V139" s="138"/>
      <x:c r="W139" s="138"/>
      <x:c r="X139" s="138"/>
      <x:c r="Y139" s="138"/>
      <x:c r="Z139" s="138"/>
    </x:row>
    <x:row r="140">
      <x:c r="A140" s="138"/>
      <x:c r="B140" s="138"/>
      <x:c r="C140" s="138"/>
      <x:c r="D140" s="138"/>
      <x:c r="E140" s="138"/>
      <x:c r="F140" s="138"/>
      <x:c r="G140" s="138"/>
      <x:c r="H140" s="138"/>
      <x:c r="I140" s="138"/>
      <x:c r="J140" s="138"/>
      <x:c r="K140" s="138"/>
      <x:c r="L140" s="138"/>
      <x:c r="M140" s="138"/>
      <x:c r="N140" s="138"/>
      <x:c r="O140" s="138"/>
      <x:c r="P140" s="138"/>
      <x:c r="Q140" s="138"/>
      <x:c r="R140" s="138"/>
      <x:c r="S140" s="138"/>
      <x:c r="T140" s="138"/>
      <x:c r="U140" s="138"/>
      <x:c r="V140" s="138"/>
      <x:c r="W140" s="138"/>
      <x:c r="X140" s="138"/>
      <x:c r="Y140" s="138"/>
      <x:c r="Z140" s="138"/>
    </x:row>
    <x:row r="141">
      <x:c r="A141" s="138"/>
      <x:c r="B141" s="138"/>
      <x:c r="C141" s="138"/>
      <x:c r="D141" s="138"/>
      <x:c r="E141" s="138"/>
      <x:c r="F141" s="138"/>
      <x:c r="G141" s="138"/>
      <x:c r="H141" s="138"/>
      <x:c r="I141" s="138"/>
      <x:c r="J141" s="138"/>
      <x:c r="K141" s="138"/>
      <x:c r="L141" s="138"/>
      <x:c r="M141" s="138"/>
      <x:c r="N141" s="138"/>
      <x:c r="O141" s="138"/>
      <x:c r="P141" s="138"/>
      <x:c r="Q141" s="138"/>
      <x:c r="R141" s="138"/>
      <x:c r="S141" s="138"/>
      <x:c r="T141" s="138"/>
      <x:c r="U141" s="138"/>
      <x:c r="V141" s="138"/>
      <x:c r="W141" s="138"/>
      <x:c r="X141" s="138"/>
      <x:c r="Y141" s="138"/>
      <x:c r="Z141" s="138"/>
    </x:row>
    <x:row r="142">
      <x:c r="A142" s="138"/>
      <x:c r="B142" s="138"/>
      <x:c r="C142" s="138"/>
      <x:c r="D142" s="138"/>
      <x:c r="E142" s="138"/>
      <x:c r="F142" s="138"/>
      <x:c r="G142" s="138"/>
      <x:c r="H142" s="138"/>
      <x:c r="I142" s="138"/>
      <x:c r="J142" s="138"/>
      <x:c r="K142" s="138"/>
      <x:c r="L142" s="138"/>
      <x:c r="M142" s="138"/>
      <x:c r="N142" s="138"/>
      <x:c r="O142" s="138"/>
      <x:c r="P142" s="138"/>
      <x:c r="Q142" s="138"/>
      <x:c r="R142" s="138"/>
      <x:c r="S142" s="138"/>
      <x:c r="T142" s="138"/>
      <x:c r="U142" s="138"/>
      <x:c r="V142" s="138"/>
      <x:c r="W142" s="138"/>
      <x:c r="X142" s="138"/>
      <x:c r="Y142" s="138"/>
      <x:c r="Z142" s="138"/>
    </x:row>
    <x:row r="143">
      <x:c r="A143" s="138"/>
      <x:c r="B143" s="138"/>
      <x:c r="C143" s="138"/>
      <x:c r="D143" s="138"/>
      <x:c r="E143" s="138"/>
      <x:c r="F143" s="138"/>
      <x:c r="G143" s="138"/>
      <x:c r="H143" s="138"/>
      <x:c r="I143" s="138"/>
      <x:c r="J143" s="138"/>
      <x:c r="K143" s="138"/>
      <x:c r="L143" s="138"/>
      <x:c r="M143" s="138"/>
      <x:c r="N143" s="138"/>
      <x:c r="O143" s="138"/>
      <x:c r="P143" s="138"/>
      <x:c r="Q143" s="138"/>
      <x:c r="R143" s="138"/>
      <x:c r="S143" s="138"/>
      <x:c r="T143" s="138"/>
      <x:c r="U143" s="138"/>
      <x:c r="V143" s="138"/>
      <x:c r="W143" s="138"/>
      <x:c r="X143" s="138"/>
      <x:c r="Y143" s="138"/>
      <x:c r="Z143" s="138"/>
    </x:row>
    <x:row r="144">
      <x:c r="A144" s="138"/>
      <x:c r="B144" s="138"/>
      <x:c r="C144" s="138"/>
      <x:c r="D144" s="138"/>
      <x:c r="E144" s="138"/>
      <x:c r="F144" s="138"/>
      <x:c r="G144" s="138"/>
      <x:c r="H144" s="138"/>
      <x:c r="I144" s="138"/>
      <x:c r="J144" s="138"/>
      <x:c r="K144" s="138"/>
      <x:c r="L144" s="138"/>
      <x:c r="M144" s="138"/>
      <x:c r="N144" s="138"/>
      <x:c r="O144" s="138"/>
      <x:c r="P144" s="138"/>
      <x:c r="Q144" s="138"/>
      <x:c r="R144" s="138"/>
      <x:c r="S144" s="138"/>
      <x:c r="T144" s="138"/>
      <x:c r="U144" s="138"/>
      <x:c r="V144" s="138"/>
      <x:c r="W144" s="138"/>
      <x:c r="X144" s="138"/>
      <x:c r="Y144" s="138"/>
      <x:c r="Z144" s="138"/>
    </x:row>
    <x:row r="145">
      <x:c r="A145" s="138"/>
      <x:c r="B145" s="138"/>
      <x:c r="C145" s="138"/>
      <x:c r="D145" s="138"/>
      <x:c r="E145" s="138"/>
      <x:c r="F145" s="138"/>
      <x:c r="G145" s="138"/>
      <x:c r="H145" s="138"/>
      <x:c r="I145" s="138"/>
      <x:c r="J145" s="138"/>
      <x:c r="K145" s="138"/>
      <x:c r="L145" s="138"/>
      <x:c r="M145" s="138"/>
      <x:c r="N145" s="138"/>
      <x:c r="O145" s="138"/>
      <x:c r="P145" s="138"/>
      <x:c r="Q145" s="138"/>
      <x:c r="R145" s="138"/>
      <x:c r="S145" s="138"/>
      <x:c r="T145" s="138"/>
      <x:c r="U145" s="138"/>
      <x:c r="V145" s="138"/>
      <x:c r="W145" s="138"/>
      <x:c r="X145" s="138"/>
      <x:c r="Y145" s="138"/>
      <x:c r="Z145" s="138"/>
    </x:row>
    <x:row r="146">
      <x:c r="A146" s="138"/>
      <x:c r="B146" s="138"/>
      <x:c r="C146" s="138"/>
      <x:c r="D146" s="138"/>
      <x:c r="E146" s="138"/>
      <x:c r="F146" s="138"/>
      <x:c r="G146" s="138"/>
      <x:c r="H146" s="138"/>
      <x:c r="I146" s="138"/>
      <x:c r="J146" s="138"/>
      <x:c r="K146" s="138"/>
      <x:c r="L146" s="138"/>
      <x:c r="M146" s="138"/>
      <x:c r="N146" s="138"/>
      <x:c r="O146" s="138"/>
      <x:c r="P146" s="138"/>
      <x:c r="Q146" s="138"/>
      <x:c r="R146" s="138"/>
      <x:c r="S146" s="138"/>
      <x:c r="T146" s="138"/>
      <x:c r="U146" s="138"/>
      <x:c r="V146" s="138"/>
      <x:c r="W146" s="138"/>
      <x:c r="X146" s="138"/>
      <x:c r="Y146" s="138"/>
      <x:c r="Z146" s="138"/>
    </x:row>
    <x:row r="147">
      <x:c r="A147" s="138"/>
      <x:c r="B147" s="138"/>
      <x:c r="C147" s="138"/>
      <x:c r="D147" s="138"/>
      <x:c r="E147" s="138"/>
      <x:c r="F147" s="138"/>
      <x:c r="G147" s="138"/>
      <x:c r="H147" s="138"/>
      <x:c r="I147" s="138"/>
      <x:c r="J147" s="138"/>
      <x:c r="K147" s="138"/>
      <x:c r="L147" s="138"/>
      <x:c r="M147" s="138"/>
      <x:c r="N147" s="138"/>
      <x:c r="O147" s="138"/>
      <x:c r="P147" s="138"/>
      <x:c r="Q147" s="138"/>
      <x:c r="R147" s="138"/>
      <x:c r="S147" s="138"/>
      <x:c r="T147" s="138"/>
      <x:c r="U147" s="138"/>
      <x:c r="V147" s="138"/>
      <x:c r="W147" s="138"/>
      <x:c r="X147" s="138"/>
      <x:c r="Y147" s="138"/>
      <x:c r="Z147" s="138"/>
    </x:row>
    <x:row r="148">
      <x:c r="A148" s="138"/>
      <x:c r="B148" s="138"/>
      <x:c r="C148" s="138"/>
      <x:c r="D148" s="138"/>
      <x:c r="E148" s="138"/>
      <x:c r="F148" s="138"/>
      <x:c r="G148" s="138"/>
      <x:c r="H148" s="138"/>
      <x:c r="I148" s="138"/>
      <x:c r="J148" s="138"/>
      <x:c r="K148" s="138"/>
      <x:c r="L148" s="138"/>
      <x:c r="M148" s="138"/>
      <x:c r="N148" s="138"/>
      <x:c r="O148" s="138"/>
      <x:c r="P148" s="138"/>
      <x:c r="Q148" s="138"/>
      <x:c r="R148" s="138"/>
      <x:c r="S148" s="138"/>
      <x:c r="T148" s="138"/>
      <x:c r="U148" s="138"/>
      <x:c r="V148" s="138"/>
      <x:c r="W148" s="138"/>
      <x:c r="X148" s="138"/>
      <x:c r="Y148" s="138"/>
      <x:c r="Z148" s="138"/>
    </x:row>
    <x:row r="149">
      <x:c r="A149" s="138"/>
      <x:c r="B149" s="138"/>
      <x:c r="C149" s="138"/>
      <x:c r="D149" s="138"/>
      <x:c r="E149" s="138"/>
      <x:c r="F149" s="138"/>
      <x:c r="G149" s="138"/>
      <x:c r="H149" s="138"/>
      <x:c r="I149" s="138"/>
      <x:c r="J149" s="138"/>
      <x:c r="K149" s="138"/>
      <x:c r="L149" s="138"/>
      <x:c r="M149" s="138"/>
      <x:c r="N149" s="138"/>
      <x:c r="O149" s="138"/>
      <x:c r="P149" s="138"/>
      <x:c r="Q149" s="138"/>
      <x:c r="R149" s="138"/>
      <x:c r="S149" s="138"/>
      <x:c r="T149" s="138"/>
      <x:c r="U149" s="138"/>
      <x:c r="V149" s="138"/>
      <x:c r="W149" s="138"/>
      <x:c r="X149" s="138"/>
      <x:c r="Y149" s="138"/>
      <x:c r="Z149" s="138"/>
    </x:row>
    <x:row r="150">
      <x:c r="A150" s="138"/>
      <x:c r="B150" s="138"/>
      <x:c r="C150" s="138"/>
      <x:c r="D150" s="138"/>
      <x:c r="E150" s="138"/>
      <x:c r="F150" s="138"/>
      <x:c r="G150" s="138"/>
      <x:c r="H150" s="138"/>
      <x:c r="I150" s="138"/>
      <x:c r="J150" s="138"/>
      <x:c r="K150" s="138"/>
      <x:c r="L150" s="138"/>
      <x:c r="M150" s="138"/>
      <x:c r="N150" s="138"/>
      <x:c r="O150" s="138"/>
      <x:c r="P150" s="138"/>
      <x:c r="Q150" s="138"/>
      <x:c r="R150" s="138"/>
      <x:c r="S150" s="138"/>
      <x:c r="T150" s="138"/>
      <x:c r="U150" s="138"/>
      <x:c r="V150" s="138"/>
      <x:c r="W150" s="138"/>
      <x:c r="X150" s="138"/>
      <x:c r="Y150" s="138"/>
      <x:c r="Z150" s="138"/>
    </x:row>
    <x:row r="151">
      <x:c r="A151" s="138"/>
      <x:c r="B151" s="138"/>
      <x:c r="C151" s="138"/>
      <x:c r="D151" s="138"/>
      <x:c r="E151" s="138"/>
      <x:c r="F151" s="138"/>
      <x:c r="G151" s="138"/>
      <x:c r="H151" s="138"/>
      <x:c r="I151" s="138"/>
      <x:c r="J151" s="138"/>
      <x:c r="K151" s="138"/>
      <x:c r="L151" s="138"/>
      <x:c r="M151" s="138"/>
      <x:c r="N151" s="138"/>
      <x:c r="O151" s="138"/>
      <x:c r="P151" s="138"/>
      <x:c r="Q151" s="138"/>
      <x:c r="R151" s="138"/>
      <x:c r="S151" s="138"/>
      <x:c r="T151" s="138"/>
      <x:c r="U151" s="138"/>
      <x:c r="V151" s="138"/>
      <x:c r="W151" s="138"/>
      <x:c r="X151" s="138"/>
      <x:c r="Y151" s="138"/>
      <x:c r="Z151" s="138"/>
    </x:row>
    <x:row r="152">
      <x:c r="A152" s="138"/>
      <x:c r="B152" s="138"/>
      <x:c r="C152" s="138"/>
      <x:c r="D152" s="138"/>
      <x:c r="E152" s="138"/>
      <x:c r="F152" s="138"/>
      <x:c r="G152" s="138"/>
      <x:c r="H152" s="138"/>
      <x:c r="I152" s="138"/>
      <x:c r="J152" s="138"/>
      <x:c r="K152" s="138"/>
      <x:c r="L152" s="138"/>
      <x:c r="M152" s="138"/>
      <x:c r="N152" s="138"/>
      <x:c r="O152" s="138"/>
      <x:c r="P152" s="138"/>
      <x:c r="Q152" s="138"/>
      <x:c r="R152" s="138"/>
      <x:c r="S152" s="138"/>
      <x:c r="T152" s="138"/>
      <x:c r="U152" s="138"/>
      <x:c r="V152" s="138"/>
      <x:c r="W152" s="138"/>
      <x:c r="X152" s="138"/>
      <x:c r="Y152" s="138"/>
      <x:c r="Z152" s="138"/>
    </x:row>
    <x:row r="153">
      <x:c r="A153" s="138"/>
      <x:c r="B153" s="138"/>
      <x:c r="C153" s="138"/>
      <x:c r="D153" s="138"/>
      <x:c r="E153" s="138"/>
      <x:c r="F153" s="138"/>
      <x:c r="G153" s="138"/>
      <x:c r="H153" s="138"/>
      <x:c r="I153" s="138"/>
      <x:c r="J153" s="138"/>
      <x:c r="K153" s="138"/>
      <x:c r="L153" s="138"/>
      <x:c r="M153" s="138"/>
      <x:c r="N153" s="138"/>
      <x:c r="O153" s="138"/>
      <x:c r="P153" s="138"/>
      <x:c r="Q153" s="138"/>
      <x:c r="R153" s="138"/>
      <x:c r="S153" s="138"/>
      <x:c r="T153" s="138"/>
      <x:c r="U153" s="138"/>
      <x:c r="V153" s="138"/>
      <x:c r="W153" s="138"/>
      <x:c r="X153" s="138"/>
      <x:c r="Y153" s="138"/>
      <x:c r="Z153" s="138"/>
    </x:row>
    <x:row r="154">
      <x:c r="A154" s="138"/>
      <x:c r="B154" s="138"/>
      <x:c r="C154" s="138"/>
      <x:c r="D154" s="138"/>
      <x:c r="E154" s="138"/>
      <x:c r="F154" s="138"/>
      <x:c r="G154" s="138"/>
      <x:c r="H154" s="138"/>
      <x:c r="I154" s="138"/>
      <x:c r="J154" s="138"/>
      <x:c r="K154" s="138"/>
      <x:c r="L154" s="138"/>
      <x:c r="M154" s="138"/>
      <x:c r="N154" s="138"/>
      <x:c r="O154" s="138"/>
      <x:c r="P154" s="138"/>
      <x:c r="Q154" s="138"/>
      <x:c r="R154" s="138"/>
      <x:c r="S154" s="138"/>
      <x:c r="T154" s="138"/>
      <x:c r="U154" s="138"/>
      <x:c r="V154" s="138"/>
      <x:c r="W154" s="138"/>
      <x:c r="X154" s="138"/>
      <x:c r="Y154" s="138"/>
      <x:c r="Z154" s="138"/>
    </x:row>
    <x:row r="155">
      <x:c r="A155" s="138"/>
      <x:c r="B155" s="138"/>
      <x:c r="C155" s="138"/>
      <x:c r="D155" s="138"/>
      <x:c r="E155" s="138"/>
      <x:c r="F155" s="138"/>
      <x:c r="G155" s="138"/>
      <x:c r="H155" s="138"/>
      <x:c r="I155" s="138"/>
      <x:c r="J155" s="138"/>
      <x:c r="K155" s="138"/>
      <x:c r="L155" s="138"/>
      <x:c r="M155" s="138"/>
      <x:c r="N155" s="138"/>
      <x:c r="O155" s="138"/>
      <x:c r="P155" s="138"/>
      <x:c r="Q155" s="138"/>
      <x:c r="R155" s="138"/>
      <x:c r="S155" s="138"/>
      <x:c r="T155" s="138"/>
      <x:c r="U155" s="138"/>
      <x:c r="V155" s="138"/>
      <x:c r="W155" s="138"/>
      <x:c r="X155" s="138"/>
      <x:c r="Y155" s="138"/>
      <x:c r="Z155" s="138"/>
    </x:row>
    <x:row r="156">
      <x:c r="A156" s="138"/>
      <x:c r="B156" s="138"/>
      <x:c r="C156" s="138"/>
      <x:c r="D156" s="138"/>
      <x:c r="E156" s="138"/>
      <x:c r="F156" s="138"/>
      <x:c r="G156" s="138"/>
      <x:c r="H156" s="138"/>
      <x:c r="I156" s="138"/>
      <x:c r="J156" s="138"/>
      <x:c r="K156" s="138"/>
      <x:c r="L156" s="138"/>
      <x:c r="M156" s="138"/>
      <x:c r="N156" s="138"/>
      <x:c r="O156" s="138"/>
      <x:c r="P156" s="138"/>
      <x:c r="Q156" s="138"/>
      <x:c r="R156" s="138"/>
      <x:c r="S156" s="138"/>
      <x:c r="T156" s="138"/>
      <x:c r="U156" s="138"/>
      <x:c r="V156" s="138"/>
      <x:c r="W156" s="138"/>
      <x:c r="X156" s="138"/>
      <x:c r="Y156" s="138"/>
      <x:c r="Z156" s="138"/>
    </x:row>
    <x:row r="157">
      <x:c r="A157" s="138"/>
      <x:c r="B157" s="138"/>
      <x:c r="C157" s="138"/>
      <x:c r="D157" s="138"/>
      <x:c r="E157" s="138"/>
      <x:c r="F157" s="138"/>
      <x:c r="G157" s="138"/>
      <x:c r="H157" s="138"/>
      <x:c r="I157" s="138"/>
      <x:c r="J157" s="138"/>
      <x:c r="K157" s="138"/>
      <x:c r="L157" s="138"/>
      <x:c r="M157" s="138"/>
      <x:c r="N157" s="138"/>
      <x:c r="O157" s="138"/>
      <x:c r="P157" s="138"/>
      <x:c r="Q157" s="138"/>
      <x:c r="R157" s="138"/>
      <x:c r="S157" s="138"/>
      <x:c r="T157" s="138"/>
      <x:c r="U157" s="138"/>
      <x:c r="V157" s="138"/>
      <x:c r="W157" s="138"/>
      <x:c r="X157" s="138"/>
      <x:c r="Y157" s="138"/>
      <x:c r="Z157" s="138"/>
    </x:row>
    <x:row r="158">
      <x:c r="A158" s="138"/>
      <x:c r="B158" s="138"/>
      <x:c r="C158" s="138"/>
      <x:c r="D158" s="138"/>
      <x:c r="E158" s="138"/>
      <x:c r="F158" s="138"/>
      <x:c r="G158" s="138"/>
      <x:c r="H158" s="138"/>
      <x:c r="I158" s="138"/>
      <x:c r="J158" s="138"/>
      <x:c r="K158" s="138"/>
      <x:c r="L158" s="138"/>
      <x:c r="M158" s="138"/>
      <x:c r="N158" s="138"/>
      <x:c r="O158" s="138"/>
      <x:c r="P158" s="138"/>
      <x:c r="Q158" s="138"/>
      <x:c r="R158" s="138"/>
      <x:c r="S158" s="138"/>
      <x:c r="T158" s="138"/>
      <x:c r="U158" s="138"/>
      <x:c r="V158" s="138"/>
      <x:c r="W158" s="138"/>
      <x:c r="X158" s="138"/>
      <x:c r="Y158" s="138"/>
      <x:c r="Z158" s="138"/>
    </x:row>
    <x:row r="159">
      <x:c r="A159" s="138"/>
      <x:c r="B159" s="138"/>
      <x:c r="C159" s="138"/>
      <x:c r="D159" s="138"/>
      <x:c r="E159" s="138"/>
      <x:c r="F159" s="138"/>
      <x:c r="G159" s="138"/>
      <x:c r="H159" s="138"/>
      <x:c r="I159" s="138"/>
      <x:c r="J159" s="138"/>
      <x:c r="K159" s="138"/>
      <x:c r="L159" s="138"/>
      <x:c r="M159" s="138"/>
      <x:c r="N159" s="138"/>
      <x:c r="O159" s="138"/>
      <x:c r="P159" s="138"/>
      <x:c r="Q159" s="138"/>
      <x:c r="R159" s="138"/>
      <x:c r="S159" s="138"/>
      <x:c r="T159" s="138"/>
      <x:c r="U159" s="138"/>
      <x:c r="V159" s="138"/>
      <x:c r="W159" s="138"/>
      <x:c r="X159" s="138"/>
      <x:c r="Y159" s="138"/>
      <x:c r="Z159" s="138"/>
    </x:row>
    <x:row r="160">
      <x:c r="A160" s="138"/>
      <x:c r="B160" s="138"/>
      <x:c r="C160" s="138"/>
      <x:c r="D160" s="138"/>
      <x:c r="E160" s="138"/>
      <x:c r="F160" s="138"/>
      <x:c r="G160" s="138"/>
      <x:c r="H160" s="138"/>
      <x:c r="I160" s="138"/>
      <x:c r="J160" s="138"/>
      <x:c r="K160" s="138"/>
      <x:c r="L160" s="138"/>
      <x:c r="M160" s="138"/>
      <x:c r="N160" s="138"/>
      <x:c r="O160" s="138"/>
      <x:c r="P160" s="138"/>
      <x:c r="Q160" s="138"/>
      <x:c r="R160" s="138"/>
      <x:c r="S160" s="138"/>
      <x:c r="T160" s="138"/>
      <x:c r="U160" s="138"/>
      <x:c r="V160" s="138"/>
      <x:c r="W160" s="138"/>
      <x:c r="X160" s="138"/>
      <x:c r="Y160" s="138"/>
      <x:c r="Z160" s="138"/>
    </x:row>
    <x:row r="161">
      <x:c r="A161" s="138"/>
      <x:c r="B161" s="138"/>
      <x:c r="C161" s="138"/>
      <x:c r="D161" s="138"/>
      <x:c r="E161" s="138"/>
      <x:c r="F161" s="138"/>
      <x:c r="G161" s="138"/>
      <x:c r="H161" s="138"/>
      <x:c r="I161" s="138"/>
      <x:c r="J161" s="138"/>
      <x:c r="K161" s="138"/>
      <x:c r="L161" s="138"/>
      <x:c r="M161" s="138"/>
      <x:c r="N161" s="138"/>
      <x:c r="O161" s="138"/>
      <x:c r="P161" s="138"/>
      <x:c r="Q161" s="138"/>
      <x:c r="R161" s="138"/>
      <x:c r="S161" s="138"/>
      <x:c r="T161" s="138"/>
      <x:c r="U161" s="138"/>
      <x:c r="V161" s="138"/>
      <x:c r="W161" s="138"/>
      <x:c r="X161" s="138"/>
      <x:c r="Y161" s="138"/>
      <x:c r="Z161" s="138"/>
    </x:row>
    <x:row r="162">
      <x:c r="A162" s="138"/>
      <x:c r="B162" s="138"/>
      <x:c r="C162" s="138"/>
      <x:c r="D162" s="138"/>
      <x:c r="E162" s="138"/>
      <x:c r="F162" s="138"/>
      <x:c r="G162" s="138"/>
      <x:c r="H162" s="138"/>
      <x:c r="I162" s="138"/>
      <x:c r="J162" s="138"/>
      <x:c r="K162" s="138"/>
      <x:c r="L162" s="138"/>
      <x:c r="M162" s="138"/>
      <x:c r="N162" s="138"/>
      <x:c r="O162" s="138"/>
      <x:c r="P162" s="138"/>
      <x:c r="Q162" s="138"/>
      <x:c r="R162" s="138"/>
      <x:c r="S162" s="138"/>
      <x:c r="T162" s="138"/>
      <x:c r="U162" s="138"/>
      <x:c r="V162" s="138"/>
      <x:c r="W162" s="138"/>
      <x:c r="X162" s="138"/>
      <x:c r="Y162" s="138"/>
      <x:c r="Z162" s="138"/>
    </x:row>
    <x:row r="163">
      <x:c r="A163" s="138"/>
      <x:c r="B163" s="138"/>
      <x:c r="C163" s="138"/>
      <x:c r="D163" s="138"/>
      <x:c r="E163" s="138"/>
      <x:c r="F163" s="138"/>
      <x:c r="G163" s="138"/>
      <x:c r="H163" s="138"/>
      <x:c r="I163" s="138"/>
      <x:c r="J163" s="138"/>
      <x:c r="K163" s="138"/>
      <x:c r="L163" s="138"/>
      <x:c r="M163" s="138"/>
      <x:c r="N163" s="138"/>
      <x:c r="O163" s="138"/>
      <x:c r="P163" s="138"/>
      <x:c r="Q163" s="138"/>
      <x:c r="R163" s="138"/>
      <x:c r="S163" s="138"/>
      <x:c r="T163" s="138"/>
      <x:c r="U163" s="138"/>
      <x:c r="V163" s="138"/>
      <x:c r="W163" s="138"/>
      <x:c r="X163" s="138"/>
      <x:c r="Y163" s="138"/>
      <x:c r="Z163" s="138"/>
    </x:row>
    <x:row r="164">
      <x:c r="A164" s="138"/>
      <x:c r="B164" s="138"/>
      <x:c r="C164" s="138"/>
      <x:c r="D164" s="138"/>
      <x:c r="E164" s="138"/>
      <x:c r="F164" s="138"/>
      <x:c r="G164" s="138"/>
      <x:c r="H164" s="138"/>
      <x:c r="I164" s="138"/>
      <x:c r="J164" s="138"/>
      <x:c r="K164" s="138"/>
      <x:c r="L164" s="138"/>
      <x:c r="M164" s="138"/>
      <x:c r="N164" s="138"/>
      <x:c r="O164" s="138"/>
      <x:c r="P164" s="138"/>
      <x:c r="Q164" s="138"/>
      <x:c r="R164" s="138"/>
      <x:c r="S164" s="138"/>
      <x:c r="T164" s="138"/>
      <x:c r="U164" s="138"/>
      <x:c r="V164" s="138"/>
      <x:c r="W164" s="138"/>
      <x:c r="X164" s="138"/>
      <x:c r="Y164" s="138"/>
      <x:c r="Z164" s="138"/>
    </x:row>
    <x:row r="165">
      <x:c r="A165" s="138"/>
      <x:c r="B165" s="138"/>
      <x:c r="C165" s="138"/>
      <x:c r="D165" s="138"/>
      <x:c r="E165" s="138"/>
      <x:c r="F165" s="138"/>
      <x:c r="G165" s="138"/>
      <x:c r="H165" s="138"/>
      <x:c r="I165" s="138"/>
      <x:c r="J165" s="138"/>
      <x:c r="K165" s="138"/>
      <x:c r="L165" s="138"/>
      <x:c r="M165" s="138"/>
      <x:c r="N165" s="138"/>
      <x:c r="O165" s="138"/>
      <x:c r="P165" s="138"/>
      <x:c r="Q165" s="138"/>
      <x:c r="R165" s="138"/>
      <x:c r="S165" s="138"/>
      <x:c r="T165" s="138"/>
      <x:c r="U165" s="138"/>
      <x:c r="V165" s="138"/>
      <x:c r="W165" s="138"/>
      <x:c r="X165" s="138"/>
      <x:c r="Y165" s="138"/>
      <x:c r="Z165" s="138"/>
    </x:row>
    <x:row r="166">
      <x:c r="A166" s="138"/>
      <x:c r="B166" s="138"/>
      <x:c r="C166" s="138"/>
      <x:c r="D166" s="138"/>
      <x:c r="E166" s="138"/>
      <x:c r="F166" s="138"/>
      <x:c r="G166" s="138"/>
      <x:c r="H166" s="138"/>
      <x:c r="I166" s="138"/>
      <x:c r="J166" s="138"/>
      <x:c r="K166" s="138"/>
      <x:c r="L166" s="138"/>
      <x:c r="M166" s="138"/>
      <x:c r="N166" s="138"/>
      <x:c r="O166" s="138"/>
      <x:c r="P166" s="138"/>
      <x:c r="Q166" s="138"/>
      <x:c r="R166" s="138"/>
      <x:c r="S166" s="138"/>
      <x:c r="T166" s="138"/>
      <x:c r="U166" s="138"/>
      <x:c r="V166" s="138"/>
      <x:c r="W166" s="138"/>
      <x:c r="X166" s="138"/>
      <x:c r="Y166" s="138"/>
      <x:c r="Z166" s="138"/>
    </x:row>
    <x:row r="167">
      <x:c r="A167" s="138"/>
      <x:c r="B167" s="138"/>
      <x:c r="C167" s="138"/>
      <x:c r="D167" s="138"/>
      <x:c r="E167" s="138"/>
      <x:c r="F167" s="138"/>
      <x:c r="G167" s="138"/>
      <x:c r="H167" s="138"/>
      <x:c r="I167" s="138"/>
      <x:c r="J167" s="138"/>
      <x:c r="K167" s="138"/>
      <x:c r="L167" s="138"/>
      <x:c r="M167" s="138"/>
      <x:c r="N167" s="138"/>
      <x:c r="O167" s="138"/>
      <x:c r="P167" s="138"/>
      <x:c r="Q167" s="138"/>
      <x:c r="R167" s="138"/>
      <x:c r="S167" s="138"/>
      <x:c r="T167" s="138"/>
      <x:c r="U167" s="138"/>
      <x:c r="V167" s="138"/>
      <x:c r="W167" s="138"/>
      <x:c r="X167" s="138"/>
      <x:c r="Y167" s="138"/>
      <x:c r="Z167" s="138"/>
    </x:row>
    <x:row r="168">
      <x:c r="A168" s="138"/>
      <x:c r="B168" s="138"/>
      <x:c r="C168" s="138"/>
      <x:c r="D168" s="138"/>
      <x:c r="E168" s="138"/>
      <x:c r="F168" s="138"/>
      <x:c r="G168" s="138"/>
      <x:c r="H168" s="138"/>
      <x:c r="I168" s="138"/>
      <x:c r="J168" s="138"/>
      <x:c r="K168" s="138"/>
      <x:c r="L168" s="138"/>
      <x:c r="M168" s="138"/>
      <x:c r="N168" s="138"/>
      <x:c r="O168" s="138"/>
      <x:c r="P168" s="138"/>
      <x:c r="Q168" s="138"/>
      <x:c r="R168" s="138"/>
      <x:c r="S168" s="138"/>
      <x:c r="T168" s="138"/>
      <x:c r="U168" s="138"/>
      <x:c r="V168" s="138"/>
      <x:c r="W168" s="138"/>
      <x:c r="X168" s="138"/>
      <x:c r="Y168" s="138"/>
      <x:c r="Z168" s="138"/>
    </x:row>
    <x:row r="169">
      <x:c r="A169" s="138"/>
      <x:c r="B169" s="138"/>
      <x:c r="C169" s="138"/>
      <x:c r="D169" s="138"/>
      <x:c r="E169" s="138"/>
      <x:c r="F169" s="138"/>
      <x:c r="G169" s="138"/>
      <x:c r="H169" s="138"/>
      <x:c r="I169" s="138"/>
      <x:c r="J169" s="138"/>
      <x:c r="K169" s="138"/>
      <x:c r="L169" s="138"/>
      <x:c r="M169" s="138"/>
      <x:c r="N169" s="138"/>
      <x:c r="O169" s="138"/>
      <x:c r="P169" s="138"/>
      <x:c r="Q169" s="138"/>
      <x:c r="R169" s="138"/>
      <x:c r="S169" s="138"/>
      <x:c r="T169" s="138"/>
      <x:c r="U169" s="138"/>
      <x:c r="V169" s="138"/>
      <x:c r="W169" s="138"/>
      <x:c r="X169" s="138"/>
      <x:c r="Y169" s="138"/>
      <x:c r="Z169" s="138"/>
    </x:row>
    <x:row r="170">
      <x:c r="A170" s="138"/>
      <x:c r="B170" s="138"/>
      <x:c r="C170" s="138"/>
      <x:c r="D170" s="138"/>
      <x:c r="E170" s="138"/>
      <x:c r="F170" s="138"/>
      <x:c r="G170" s="138"/>
      <x:c r="H170" s="138"/>
      <x:c r="I170" s="138"/>
      <x:c r="J170" s="138"/>
      <x:c r="K170" s="138"/>
      <x:c r="L170" s="138"/>
      <x:c r="M170" s="138"/>
      <x:c r="N170" s="138"/>
      <x:c r="O170" s="138"/>
      <x:c r="P170" s="138"/>
      <x:c r="Q170" s="138"/>
      <x:c r="R170" s="138"/>
      <x:c r="S170" s="138"/>
      <x:c r="T170" s="138"/>
      <x:c r="U170" s="138"/>
      <x:c r="V170" s="138"/>
      <x:c r="W170" s="138"/>
      <x:c r="X170" s="138"/>
      <x:c r="Y170" s="138"/>
      <x:c r="Z170" s="138"/>
    </x:row>
    <x:row r="171">
      <x:c r="A171" s="138"/>
      <x:c r="B171" s="138"/>
      <x:c r="C171" s="138"/>
      <x:c r="D171" s="138"/>
      <x:c r="E171" s="138"/>
      <x:c r="F171" s="138"/>
      <x:c r="G171" s="138"/>
      <x:c r="H171" s="138"/>
      <x:c r="I171" s="138"/>
      <x:c r="J171" s="138"/>
      <x:c r="K171" s="138"/>
      <x:c r="L171" s="138"/>
      <x:c r="M171" s="138"/>
      <x:c r="N171" s="138"/>
      <x:c r="O171" s="138"/>
      <x:c r="P171" s="138"/>
      <x:c r="Q171" s="138"/>
      <x:c r="R171" s="138"/>
      <x:c r="S171" s="138"/>
      <x:c r="T171" s="138"/>
      <x:c r="U171" s="138"/>
      <x:c r="V171" s="138"/>
      <x:c r="W171" s="138"/>
      <x:c r="X171" s="138"/>
      <x:c r="Y171" s="138"/>
      <x:c r="Z171" s="138"/>
    </x:row>
    <x:row r="172">
      <x:c r="A172" s="138"/>
      <x:c r="B172" s="138"/>
      <x:c r="C172" s="138"/>
      <x:c r="D172" s="138"/>
      <x:c r="E172" s="138"/>
      <x:c r="F172" s="138"/>
      <x:c r="G172" s="138"/>
      <x:c r="H172" s="138"/>
      <x:c r="I172" s="138"/>
      <x:c r="J172" s="138"/>
      <x:c r="K172" s="138"/>
      <x:c r="L172" s="138"/>
      <x:c r="M172" s="138"/>
      <x:c r="N172" s="138"/>
      <x:c r="O172" s="138"/>
      <x:c r="P172" s="138"/>
      <x:c r="Q172" s="138"/>
      <x:c r="R172" s="138"/>
      <x:c r="S172" s="138"/>
      <x:c r="T172" s="138"/>
      <x:c r="U172" s="138"/>
      <x:c r="V172" s="138"/>
      <x:c r="W172" s="138"/>
      <x:c r="X172" s="138"/>
      <x:c r="Y172" s="138"/>
      <x:c r="Z172" s="138"/>
    </x:row>
    <x:row r="173">
      <x:c r="A173" s="138"/>
      <x:c r="B173" s="138"/>
      <x:c r="C173" s="138"/>
      <x:c r="D173" s="138"/>
      <x:c r="E173" s="138"/>
      <x:c r="F173" s="138"/>
      <x:c r="G173" s="138"/>
      <x:c r="H173" s="138"/>
      <x:c r="I173" s="138"/>
      <x:c r="J173" s="138"/>
      <x:c r="K173" s="138"/>
      <x:c r="L173" s="138"/>
      <x:c r="M173" s="138"/>
      <x:c r="N173" s="138"/>
      <x:c r="O173" s="138"/>
      <x:c r="P173" s="138"/>
      <x:c r="Q173" s="138"/>
      <x:c r="R173" s="138"/>
      <x:c r="S173" s="138"/>
      <x:c r="T173" s="138"/>
      <x:c r="U173" s="138"/>
      <x:c r="V173" s="138"/>
      <x:c r="W173" s="138"/>
      <x:c r="X173" s="138"/>
      <x:c r="Y173" s="138"/>
      <x:c r="Z173" s="138"/>
    </x:row>
    <x:row r="174">
      <x:c r="A174" s="138"/>
      <x:c r="B174" s="138"/>
      <x:c r="C174" s="138"/>
      <x:c r="D174" s="138"/>
      <x:c r="E174" s="138"/>
      <x:c r="F174" s="138"/>
      <x:c r="G174" s="138"/>
      <x:c r="H174" s="138"/>
      <x:c r="I174" s="138"/>
      <x:c r="J174" s="138"/>
      <x:c r="K174" s="138"/>
      <x:c r="L174" s="138"/>
      <x:c r="M174" s="138"/>
      <x:c r="N174" s="138"/>
      <x:c r="O174" s="138"/>
      <x:c r="P174" s="138"/>
      <x:c r="Q174" s="138"/>
      <x:c r="R174" s="138"/>
      <x:c r="S174" s="138"/>
      <x:c r="T174" s="138"/>
      <x:c r="U174" s="138"/>
      <x:c r="V174" s="138"/>
      <x:c r="W174" s="138"/>
      <x:c r="X174" s="138"/>
      <x:c r="Y174" s="138"/>
      <x:c r="Z174" s="138"/>
    </x:row>
    <x:row r="175">
      <x:c r="A175" s="138"/>
      <x:c r="B175" s="138"/>
      <x:c r="C175" s="138"/>
      <x:c r="D175" s="138"/>
      <x:c r="E175" s="138"/>
      <x:c r="F175" s="138"/>
      <x:c r="G175" s="138"/>
      <x:c r="H175" s="138"/>
      <x:c r="I175" s="138"/>
      <x:c r="J175" s="138"/>
      <x:c r="K175" s="138"/>
      <x:c r="L175" s="138"/>
      <x:c r="M175" s="138"/>
      <x:c r="N175" s="138"/>
      <x:c r="O175" s="138"/>
      <x:c r="P175" s="138"/>
      <x:c r="Q175" s="138"/>
      <x:c r="R175" s="138"/>
      <x:c r="S175" s="138"/>
      <x:c r="T175" s="138"/>
      <x:c r="U175" s="138"/>
      <x:c r="V175" s="138"/>
      <x:c r="W175" s="138"/>
      <x:c r="X175" s="138"/>
      <x:c r="Y175" s="138"/>
      <x:c r="Z175" s="138"/>
    </x:row>
    <x:row r="176">
      <x:c r="A176" s="138"/>
      <x:c r="B176" s="138"/>
      <x:c r="C176" s="138"/>
      <x:c r="D176" s="138"/>
      <x:c r="E176" s="138"/>
      <x:c r="F176" s="138"/>
      <x:c r="G176" s="138"/>
      <x:c r="H176" s="138"/>
      <x:c r="I176" s="138"/>
      <x:c r="J176" s="138"/>
      <x:c r="K176" s="138"/>
      <x:c r="L176" s="138"/>
      <x:c r="M176" s="138"/>
      <x:c r="N176" s="138"/>
      <x:c r="O176" s="138"/>
      <x:c r="P176" s="138"/>
      <x:c r="Q176" s="138"/>
      <x:c r="R176" s="138"/>
      <x:c r="S176" s="138"/>
      <x:c r="T176" s="138"/>
      <x:c r="U176" s="138"/>
      <x:c r="V176" s="138"/>
      <x:c r="W176" s="138"/>
      <x:c r="X176" s="138"/>
      <x:c r="Y176" s="138"/>
      <x:c r="Z176" s="138"/>
    </x:row>
    <x:row r="177">
      <x:c r="A177" s="138"/>
      <x:c r="B177" s="138"/>
      <x:c r="C177" s="138"/>
      <x:c r="D177" s="138"/>
      <x:c r="E177" s="138"/>
      <x:c r="F177" s="138"/>
      <x:c r="G177" s="138"/>
      <x:c r="H177" s="138"/>
      <x:c r="I177" s="138"/>
      <x:c r="J177" s="138"/>
      <x:c r="K177" s="138"/>
      <x:c r="L177" s="138"/>
      <x:c r="M177" s="138"/>
      <x:c r="N177" s="138"/>
      <x:c r="O177" s="138"/>
      <x:c r="P177" s="138"/>
      <x:c r="Q177" s="138"/>
      <x:c r="R177" s="138"/>
      <x:c r="S177" s="138"/>
      <x:c r="T177" s="138"/>
      <x:c r="U177" s="138"/>
      <x:c r="V177" s="138"/>
      <x:c r="W177" s="138"/>
      <x:c r="X177" s="138"/>
      <x:c r="Y177" s="138"/>
      <x:c r="Z177" s="138"/>
    </x:row>
    <x:row r="178">
      <x:c r="A178" s="138"/>
      <x:c r="B178" s="138"/>
      <x:c r="C178" s="138"/>
      <x:c r="D178" s="138"/>
      <x:c r="E178" s="138"/>
      <x:c r="F178" s="138"/>
      <x:c r="G178" s="138"/>
      <x:c r="H178" s="138"/>
      <x:c r="I178" s="138"/>
      <x:c r="J178" s="138"/>
      <x:c r="K178" s="138"/>
      <x:c r="L178" s="138"/>
      <x:c r="M178" s="138"/>
      <x:c r="N178" s="138"/>
      <x:c r="O178" s="138"/>
      <x:c r="P178" s="138"/>
      <x:c r="Q178" s="138"/>
      <x:c r="R178" s="138"/>
      <x:c r="S178" s="138"/>
      <x:c r="T178" s="138"/>
      <x:c r="U178" s="138"/>
      <x:c r="V178" s="138"/>
      <x:c r="W178" s="138"/>
      <x:c r="X178" s="138"/>
      <x:c r="Y178" s="138"/>
      <x:c r="Z178" s="138"/>
    </x:row>
    <x:row r="179">
      <x:c r="A179" s="138"/>
      <x:c r="B179" s="138"/>
      <x:c r="C179" s="138"/>
      <x:c r="D179" s="138"/>
      <x:c r="E179" s="138"/>
      <x:c r="F179" s="138"/>
      <x:c r="G179" s="138"/>
      <x:c r="H179" s="138"/>
      <x:c r="I179" s="138"/>
      <x:c r="J179" s="138"/>
      <x:c r="K179" s="138"/>
      <x:c r="L179" s="138"/>
      <x:c r="M179" s="138"/>
      <x:c r="N179" s="138"/>
      <x:c r="O179" s="138"/>
      <x:c r="P179" s="138"/>
      <x:c r="Q179" s="138"/>
      <x:c r="R179" s="138"/>
      <x:c r="S179" s="138"/>
      <x:c r="T179" s="138"/>
      <x:c r="U179" s="138"/>
      <x:c r="V179" s="138"/>
      <x:c r="W179" s="138"/>
      <x:c r="X179" s="138"/>
      <x:c r="Y179" s="138"/>
      <x:c r="Z179" s="138"/>
    </x:row>
    <x:row r="180">
      <x:c r="A180" s="138"/>
      <x:c r="B180" s="138"/>
      <x:c r="C180" s="138"/>
      <x:c r="D180" s="138"/>
      <x:c r="E180" s="138"/>
      <x:c r="F180" s="138"/>
      <x:c r="G180" s="138"/>
      <x:c r="H180" s="138"/>
      <x:c r="I180" s="138"/>
      <x:c r="J180" s="138"/>
      <x:c r="K180" s="138"/>
      <x:c r="L180" s="138"/>
      <x:c r="M180" s="138"/>
      <x:c r="N180" s="138"/>
      <x:c r="O180" s="138"/>
      <x:c r="P180" s="138"/>
      <x:c r="Q180" s="138"/>
      <x:c r="R180" s="138"/>
      <x:c r="S180" s="138"/>
      <x:c r="T180" s="138"/>
      <x:c r="U180" s="138"/>
      <x:c r="V180" s="138"/>
      <x:c r="W180" s="138"/>
      <x:c r="X180" s="138"/>
      <x:c r="Y180" s="138"/>
      <x:c r="Z180" s="138"/>
    </x:row>
    <x:row r="181">
      <x:c r="A181" s="138"/>
      <x:c r="B181" s="138"/>
      <x:c r="C181" s="138"/>
      <x:c r="D181" s="138"/>
      <x:c r="E181" s="138"/>
      <x:c r="F181" s="138"/>
      <x:c r="G181" s="138"/>
      <x:c r="H181" s="138"/>
      <x:c r="I181" s="138"/>
      <x:c r="J181" s="138"/>
      <x:c r="K181" s="138"/>
      <x:c r="L181" s="138"/>
      <x:c r="M181" s="138"/>
      <x:c r="N181" s="138"/>
      <x:c r="O181" s="138"/>
      <x:c r="P181" s="138"/>
      <x:c r="Q181" s="138"/>
      <x:c r="R181" s="138"/>
      <x:c r="S181" s="138"/>
      <x:c r="T181" s="138"/>
      <x:c r="U181" s="138"/>
      <x:c r="V181" s="138"/>
      <x:c r="W181" s="138"/>
      <x:c r="X181" s="138"/>
      <x:c r="Y181" s="138"/>
      <x:c r="Z181" s="138"/>
    </x:row>
    <x:row r="182">
      <x:c r="A182" s="138"/>
      <x:c r="B182" s="138"/>
      <x:c r="C182" s="138"/>
      <x:c r="D182" s="138"/>
      <x:c r="E182" s="138"/>
      <x:c r="F182" s="138"/>
      <x:c r="G182" s="138"/>
      <x:c r="H182" s="138"/>
      <x:c r="I182" s="138"/>
      <x:c r="J182" s="138"/>
      <x:c r="K182" s="138"/>
      <x:c r="L182" s="138"/>
      <x:c r="M182" s="138"/>
      <x:c r="N182" s="138"/>
      <x:c r="O182" s="138"/>
      <x:c r="P182" s="138"/>
      <x:c r="Q182" s="138"/>
      <x:c r="R182" s="138"/>
      <x:c r="S182" s="138"/>
      <x:c r="T182" s="138"/>
      <x:c r="U182" s="138"/>
      <x:c r="V182" s="138"/>
      <x:c r="W182" s="138"/>
      <x:c r="X182" s="138"/>
      <x:c r="Y182" s="138"/>
      <x:c r="Z182" s="138"/>
    </x:row>
    <x:row r="183">
      <x:c r="A183" s="138"/>
      <x:c r="B183" s="138"/>
      <x:c r="C183" s="138"/>
      <x:c r="D183" s="138"/>
      <x:c r="E183" s="138"/>
      <x:c r="F183" s="138"/>
      <x:c r="G183" s="138"/>
      <x:c r="H183" s="138"/>
      <x:c r="I183" s="138"/>
      <x:c r="J183" s="138"/>
      <x:c r="K183" s="138"/>
      <x:c r="L183" s="138"/>
      <x:c r="M183" s="138"/>
      <x:c r="N183" s="138"/>
      <x:c r="O183" s="138"/>
      <x:c r="P183" s="138"/>
      <x:c r="Q183" s="138"/>
      <x:c r="R183" s="138"/>
      <x:c r="S183" s="138"/>
      <x:c r="T183" s="138"/>
      <x:c r="U183" s="138"/>
      <x:c r="V183" s="138"/>
      <x:c r="W183" s="138"/>
      <x:c r="X183" s="138"/>
      <x:c r="Y183" s="138"/>
      <x:c r="Z183" s="138"/>
    </x:row>
    <x:row r="184">
      <x:c r="A184" s="138"/>
      <x:c r="B184" s="138"/>
      <x:c r="C184" s="138"/>
      <x:c r="D184" s="138"/>
      <x:c r="E184" s="138"/>
      <x:c r="F184" s="138"/>
      <x:c r="G184" s="138"/>
      <x:c r="H184" s="138"/>
      <x:c r="I184" s="138"/>
      <x:c r="J184" s="138"/>
      <x:c r="K184" s="138"/>
      <x:c r="L184" s="138"/>
      <x:c r="M184" s="138"/>
      <x:c r="N184" s="138"/>
      <x:c r="O184" s="138"/>
      <x:c r="P184" s="138"/>
      <x:c r="Q184" s="138"/>
      <x:c r="R184" s="138"/>
      <x:c r="S184" s="138"/>
      <x:c r="T184" s="138"/>
      <x:c r="U184" s="138"/>
      <x:c r="V184" s="138"/>
      <x:c r="W184" s="138"/>
      <x:c r="X184" s="138"/>
      <x:c r="Y184" s="138"/>
      <x:c r="Z184" s="138"/>
    </x:row>
    <x:row r="185">
      <x:c r="A185" s="138"/>
      <x:c r="B185" s="138"/>
      <x:c r="C185" s="138"/>
      <x:c r="D185" s="138"/>
      <x:c r="E185" s="138"/>
      <x:c r="F185" s="138"/>
      <x:c r="G185" s="138"/>
      <x:c r="H185" s="138"/>
      <x:c r="I185" s="138"/>
      <x:c r="J185" s="138"/>
      <x:c r="K185" s="138"/>
      <x:c r="L185" s="138"/>
      <x:c r="M185" s="138"/>
      <x:c r="N185" s="138"/>
      <x:c r="O185" s="138"/>
      <x:c r="P185" s="138"/>
      <x:c r="Q185" s="138"/>
      <x:c r="R185" s="138"/>
      <x:c r="S185" s="138"/>
      <x:c r="T185" s="138"/>
      <x:c r="U185" s="138"/>
      <x:c r="V185" s="138"/>
      <x:c r="W185" s="138"/>
      <x:c r="X185" s="138"/>
      <x:c r="Y185" s="138"/>
      <x:c r="Z185" s="138"/>
    </x:row>
    <x:row r="186">
      <x:c r="A186" s="138"/>
      <x:c r="B186" s="138"/>
      <x:c r="C186" s="138"/>
      <x:c r="D186" s="138"/>
      <x:c r="E186" s="138"/>
      <x:c r="F186" s="138"/>
      <x:c r="G186" s="138"/>
      <x:c r="H186" s="138"/>
      <x:c r="I186" s="138"/>
      <x:c r="J186" s="138"/>
      <x:c r="K186" s="138"/>
      <x:c r="L186" s="138"/>
      <x:c r="M186" s="138"/>
      <x:c r="N186" s="138"/>
      <x:c r="O186" s="138"/>
      <x:c r="P186" s="138"/>
      <x:c r="Q186" s="138"/>
      <x:c r="R186" s="138"/>
      <x:c r="S186" s="138"/>
      <x:c r="T186" s="138"/>
      <x:c r="U186" s="138"/>
      <x:c r="V186" s="138"/>
      <x:c r="W186" s="138"/>
      <x:c r="X186" s="138"/>
      <x:c r="Y186" s="138"/>
      <x:c r="Z186" s="138"/>
    </x:row>
    <x:row r="187">
      <x:c r="A187" s="138"/>
      <x:c r="B187" s="138"/>
      <x:c r="C187" s="138"/>
      <x:c r="D187" s="138"/>
      <x:c r="E187" s="138"/>
      <x:c r="F187" s="138"/>
      <x:c r="G187" s="138"/>
      <x:c r="H187" s="138"/>
      <x:c r="I187" s="138"/>
      <x:c r="J187" s="138"/>
      <x:c r="K187" s="138"/>
      <x:c r="L187" s="138"/>
      <x:c r="M187" s="138"/>
      <x:c r="N187" s="138"/>
      <x:c r="O187" s="138"/>
      <x:c r="P187" s="138"/>
      <x:c r="Q187" s="138"/>
      <x:c r="R187" s="138"/>
      <x:c r="S187" s="138"/>
      <x:c r="T187" s="138"/>
      <x:c r="U187" s="138"/>
      <x:c r="V187" s="138"/>
      <x:c r="W187" s="138"/>
      <x:c r="X187" s="138"/>
      <x:c r="Y187" s="138"/>
      <x:c r="Z187" s="138"/>
    </x:row>
    <x:row r="188">
      <x:c r="A188" s="138"/>
      <x:c r="B188" s="138"/>
      <x:c r="C188" s="138"/>
      <x:c r="D188" s="138"/>
      <x:c r="E188" s="138"/>
      <x:c r="F188" s="138"/>
      <x:c r="G188" s="138"/>
      <x:c r="H188" s="138"/>
      <x:c r="I188" s="138"/>
      <x:c r="J188" s="138"/>
      <x:c r="K188" s="138"/>
      <x:c r="L188" s="138"/>
      <x:c r="M188" s="138"/>
      <x:c r="N188" s="138"/>
      <x:c r="O188" s="138"/>
      <x:c r="P188" s="138"/>
      <x:c r="Q188" s="138"/>
      <x:c r="R188" s="138"/>
      <x:c r="S188" s="138"/>
      <x:c r="T188" s="138"/>
      <x:c r="U188" s="138"/>
      <x:c r="V188" s="138"/>
      <x:c r="W188" s="138"/>
      <x:c r="X188" s="138"/>
      <x:c r="Y188" s="138"/>
      <x:c r="Z188" s="138"/>
    </x:row>
    <x:row r="189">
      <x:c r="A189" s="138"/>
      <x:c r="B189" s="138"/>
      <x:c r="C189" s="138"/>
      <x:c r="D189" s="138"/>
      <x:c r="E189" s="138"/>
      <x:c r="F189" s="138"/>
      <x:c r="G189" s="138"/>
      <x:c r="H189" s="138"/>
      <x:c r="I189" s="138"/>
      <x:c r="J189" s="138"/>
      <x:c r="K189" s="138"/>
      <x:c r="L189" s="138"/>
      <x:c r="M189" s="138"/>
      <x:c r="N189" s="138"/>
      <x:c r="O189" s="138"/>
      <x:c r="P189" s="138"/>
      <x:c r="Q189" s="138"/>
      <x:c r="R189" s="138"/>
      <x:c r="S189" s="138"/>
      <x:c r="T189" s="138"/>
      <x:c r="U189" s="138"/>
      <x:c r="V189" s="138"/>
      <x:c r="W189" s="138"/>
      <x:c r="X189" s="138"/>
      <x:c r="Y189" s="138"/>
      <x:c r="Z189" s="138"/>
    </x:row>
    <x:row r="190">
      <x:c r="A190" s="138"/>
      <x:c r="B190" s="138"/>
      <x:c r="C190" s="138"/>
      <x:c r="D190" s="138"/>
      <x:c r="E190" s="138"/>
      <x:c r="F190" s="138"/>
      <x:c r="G190" s="138"/>
      <x:c r="H190" s="138"/>
      <x:c r="I190" s="138"/>
      <x:c r="J190" s="138"/>
      <x:c r="K190" s="138"/>
      <x:c r="L190" s="138"/>
      <x:c r="M190" s="138"/>
      <x:c r="N190" s="138"/>
      <x:c r="O190" s="138"/>
      <x:c r="P190" s="138"/>
      <x:c r="Q190" s="138"/>
      <x:c r="R190" s="138"/>
      <x:c r="S190" s="138"/>
      <x:c r="T190" s="138"/>
      <x:c r="U190" s="138"/>
      <x:c r="V190" s="138"/>
      <x:c r="W190" s="138"/>
      <x:c r="X190" s="138"/>
      <x:c r="Y190" s="138"/>
      <x:c r="Z190" s="138"/>
    </x:row>
    <x:row r="191">
      <x:c r="A191" s="138"/>
      <x:c r="B191" s="138"/>
      <x:c r="C191" s="138"/>
      <x:c r="D191" s="138"/>
      <x:c r="E191" s="138"/>
      <x:c r="F191" s="138"/>
      <x:c r="G191" s="138"/>
      <x:c r="H191" s="138"/>
      <x:c r="I191" s="138"/>
      <x:c r="J191" s="138"/>
      <x:c r="K191" s="138"/>
      <x:c r="L191" s="138"/>
      <x:c r="M191" s="138"/>
      <x:c r="N191" s="138"/>
      <x:c r="O191" s="138"/>
      <x:c r="P191" s="138"/>
      <x:c r="Q191" s="138"/>
      <x:c r="R191" s="138"/>
      <x:c r="S191" s="138"/>
      <x:c r="T191" s="138"/>
      <x:c r="U191" s="138"/>
      <x:c r="V191" s="138"/>
      <x:c r="W191" s="138"/>
      <x:c r="X191" s="138"/>
      <x:c r="Y191" s="138"/>
      <x:c r="Z191" s="138"/>
    </x:row>
    <x:row r="192">
      <x:c r="A192" s="138"/>
      <x:c r="B192" s="138"/>
      <x:c r="C192" s="138"/>
      <x:c r="D192" s="138"/>
      <x:c r="E192" s="138"/>
      <x:c r="F192" s="138"/>
      <x:c r="G192" s="138"/>
      <x:c r="H192" s="138"/>
      <x:c r="I192" s="138"/>
      <x:c r="J192" s="138"/>
      <x:c r="K192" s="138"/>
      <x:c r="L192" s="138"/>
      <x:c r="M192" s="138"/>
      <x:c r="N192" s="138"/>
      <x:c r="O192" s="138"/>
      <x:c r="P192" s="138"/>
      <x:c r="Q192" s="138"/>
      <x:c r="R192" s="138"/>
      <x:c r="S192" s="138"/>
      <x:c r="T192" s="138"/>
      <x:c r="U192" s="138"/>
      <x:c r="V192" s="138"/>
      <x:c r="W192" s="138"/>
      <x:c r="X192" s="138"/>
      <x:c r="Y192" s="138"/>
      <x:c r="Z192" s="138"/>
    </x:row>
    <x:row r="193">
      <x:c r="A193" s="138"/>
      <x:c r="B193" s="138"/>
      <x:c r="C193" s="138"/>
      <x:c r="D193" s="138"/>
      <x:c r="E193" s="138"/>
      <x:c r="F193" s="138"/>
      <x:c r="G193" s="138"/>
      <x:c r="H193" s="138"/>
      <x:c r="I193" s="138"/>
      <x:c r="J193" s="138"/>
      <x:c r="K193" s="138"/>
      <x:c r="L193" s="138"/>
      <x:c r="M193" s="138"/>
      <x:c r="N193" s="138"/>
      <x:c r="O193" s="138"/>
      <x:c r="P193" s="138"/>
      <x:c r="Q193" s="138"/>
      <x:c r="R193" s="138"/>
      <x:c r="S193" s="138"/>
      <x:c r="T193" s="138"/>
      <x:c r="U193" s="138"/>
      <x:c r="V193" s="138"/>
      <x:c r="W193" s="138"/>
      <x:c r="X193" s="138"/>
      <x:c r="Y193" s="138"/>
      <x:c r="Z193" s="138"/>
    </x:row>
    <x:row r="194">
      <x:c r="A194" s="138"/>
      <x:c r="B194" s="138"/>
      <x:c r="C194" s="138"/>
      <x:c r="D194" s="138"/>
      <x:c r="E194" s="138"/>
      <x:c r="F194" s="138"/>
      <x:c r="G194" s="138"/>
      <x:c r="H194" s="138"/>
      <x:c r="I194" s="138"/>
      <x:c r="J194" s="138"/>
      <x:c r="K194" s="138"/>
      <x:c r="L194" s="138"/>
      <x:c r="M194" s="138"/>
      <x:c r="N194" s="138"/>
      <x:c r="O194" s="138"/>
      <x:c r="P194" s="138"/>
      <x:c r="Q194" s="138"/>
      <x:c r="R194" s="138"/>
      <x:c r="S194" s="138"/>
      <x:c r="T194" s="138"/>
      <x:c r="U194" s="138"/>
      <x:c r="V194" s="138"/>
      <x:c r="W194" s="138"/>
      <x:c r="X194" s="138"/>
      <x:c r="Y194" s="138"/>
      <x:c r="Z194" s="138"/>
    </x:row>
    <x:row r="195">
      <x:c r="A195" s="138"/>
      <x:c r="B195" s="138"/>
      <x:c r="C195" s="138"/>
      <x:c r="D195" s="138"/>
      <x:c r="E195" s="138"/>
      <x:c r="F195" s="138"/>
      <x:c r="G195" s="138"/>
      <x:c r="H195" s="138"/>
      <x:c r="I195" s="138"/>
      <x:c r="J195" s="138"/>
      <x:c r="K195" s="138"/>
      <x:c r="L195" s="138"/>
      <x:c r="M195" s="138"/>
      <x:c r="N195" s="138"/>
      <x:c r="O195" s="138"/>
      <x:c r="P195" s="138"/>
      <x:c r="Q195" s="138"/>
      <x:c r="R195" s="138"/>
      <x:c r="S195" s="138"/>
      <x:c r="T195" s="138"/>
      <x:c r="U195" s="138"/>
      <x:c r="V195" s="138"/>
      <x:c r="W195" s="138"/>
      <x:c r="X195" s="138"/>
      <x:c r="Y195" s="138"/>
      <x:c r="Z195" s="138"/>
    </x:row>
    <x:row r="196">
      <x:c r="A196" s="138"/>
      <x:c r="B196" s="138"/>
      <x:c r="C196" s="138"/>
      <x:c r="D196" s="138"/>
      <x:c r="E196" s="138"/>
      <x:c r="F196" s="138"/>
      <x:c r="G196" s="138"/>
      <x:c r="H196" s="138"/>
      <x:c r="I196" s="138"/>
      <x:c r="J196" s="138"/>
      <x:c r="K196" s="138"/>
      <x:c r="L196" s="138"/>
      <x:c r="M196" s="138"/>
      <x:c r="N196" s="138"/>
      <x:c r="O196" s="138"/>
      <x:c r="P196" s="138"/>
      <x:c r="Q196" s="138"/>
      <x:c r="R196" s="138"/>
      <x:c r="S196" s="138"/>
      <x:c r="T196" s="138"/>
      <x:c r="U196" s="138"/>
      <x:c r="V196" s="138"/>
      <x:c r="W196" s="138"/>
      <x:c r="X196" s="138"/>
      <x:c r="Y196" s="138"/>
      <x:c r="Z196" s="138"/>
    </x:row>
    <x:row r="197">
      <x:c r="A197" s="138"/>
      <x:c r="B197" s="138"/>
      <x:c r="C197" s="138"/>
      <x:c r="D197" s="138"/>
      <x:c r="E197" s="138"/>
      <x:c r="F197" s="138"/>
      <x:c r="G197" s="138"/>
      <x:c r="H197" s="138"/>
      <x:c r="I197" s="138"/>
      <x:c r="J197" s="138"/>
      <x:c r="K197" s="138"/>
      <x:c r="L197" s="138"/>
      <x:c r="M197" s="138"/>
      <x:c r="N197" s="138"/>
      <x:c r="O197" s="138"/>
      <x:c r="P197" s="138"/>
      <x:c r="Q197" s="138"/>
      <x:c r="R197" s="138"/>
      <x:c r="S197" s="138"/>
      <x:c r="T197" s="138"/>
      <x:c r="U197" s="138"/>
      <x:c r="V197" s="138"/>
      <x:c r="W197" s="138"/>
      <x:c r="X197" s="138"/>
      <x:c r="Y197" s="138"/>
      <x:c r="Z197" s="138"/>
    </x:row>
    <x:row r="198">
      <x:c r="A198" s="138"/>
      <x:c r="B198" s="138"/>
      <x:c r="C198" s="138"/>
      <x:c r="D198" s="138"/>
      <x:c r="E198" s="138"/>
      <x:c r="F198" s="138"/>
      <x:c r="G198" s="138"/>
      <x:c r="H198" s="138"/>
      <x:c r="I198" s="138"/>
      <x:c r="J198" s="138"/>
      <x:c r="K198" s="138"/>
      <x:c r="L198" s="138"/>
      <x:c r="M198" s="138"/>
      <x:c r="N198" s="138"/>
      <x:c r="O198" s="138"/>
      <x:c r="P198" s="138"/>
      <x:c r="Q198" s="138"/>
      <x:c r="R198" s="138"/>
      <x:c r="S198" s="138"/>
      <x:c r="T198" s="138"/>
      <x:c r="U198" s="138"/>
      <x:c r="V198" s="138"/>
      <x:c r="W198" s="138"/>
      <x:c r="X198" s="138"/>
      <x:c r="Y198" s="138"/>
      <x:c r="Z198" s="138"/>
    </x:row>
    <x:row r="199">
      <x:c r="A199" s="138"/>
      <x:c r="B199" s="138"/>
      <x:c r="C199" s="138"/>
      <x:c r="D199" s="138"/>
      <x:c r="E199" s="138"/>
      <x:c r="F199" s="138"/>
      <x:c r="G199" s="138"/>
      <x:c r="H199" s="138"/>
      <x:c r="I199" s="138"/>
      <x:c r="J199" s="138"/>
      <x:c r="K199" s="138"/>
      <x:c r="L199" s="138"/>
      <x:c r="M199" s="138"/>
      <x:c r="N199" s="138"/>
      <x:c r="O199" s="138"/>
      <x:c r="P199" s="138"/>
      <x:c r="Q199" s="138"/>
      <x:c r="R199" s="138"/>
      <x:c r="S199" s="138"/>
      <x:c r="T199" s="138"/>
      <x:c r="U199" s="138"/>
      <x:c r="V199" s="138"/>
      <x:c r="W199" s="138"/>
      <x:c r="X199" s="138"/>
      <x:c r="Y199" s="138"/>
      <x:c r="Z199" s="138"/>
    </x:row>
    <x:row r="200">
      <x:c r="A200" s="138"/>
      <x:c r="B200" s="138"/>
      <x:c r="C200" s="138"/>
      <x:c r="D200" s="138"/>
      <x:c r="E200" s="138"/>
      <x:c r="F200" s="138"/>
      <x:c r="G200" s="138"/>
      <x:c r="H200" s="138"/>
      <x:c r="I200" s="138"/>
      <x:c r="J200" s="138"/>
      <x:c r="K200" s="138"/>
      <x:c r="L200" s="138"/>
      <x:c r="M200" s="138"/>
      <x:c r="N200" s="138"/>
      <x:c r="O200" s="138"/>
      <x:c r="P200" s="138"/>
      <x:c r="Q200" s="138"/>
      <x:c r="R200" s="138"/>
      <x:c r="S200" s="138"/>
      <x:c r="T200" s="138"/>
      <x:c r="U200" s="138"/>
      <x:c r="V200" s="138"/>
      <x:c r="W200" s="138"/>
      <x:c r="X200" s="138"/>
      <x:c r="Y200" s="138"/>
      <x:c r="Z200" s="138"/>
    </x:row>
  </x:sheetData>
  <x:mergeCells>
    <x:mergeCell ref="A1:F1"/>
    <x:mergeCell ref="A2:F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2" hidden="0" customWidth="1"/>
    <x:col min="7" max="7" width="46" hidden="0" customWidth="1"/>
  </x:cols>
  <x:sheetData>
    <x:row r="1" ht="32" customHeight="1">
      <x:c r="A1" s="137" t="str">
        <x:v>Model Checks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  <x:c r="V1" s="138"/>
      <x:c r="W1" s="138"/>
      <x:c r="X1" s="138"/>
      <x:c r="Y1" s="138"/>
      <x:c r="Z1" s="138"/>
    </x:row>
    <x:row r="2" ht="30" customHeight="1">
      <x:c r="A2" s="139" t="str">
        <x:v>A compact audit of the linked model.</x:v>
      </x:c>
      <x:c r="B2" s="138"/>
      <x:c r="C2" s="138"/>
      <x:c r="D2" s="138"/>
      <x:c r="E2" s="138"/>
      <x:c r="F2" s="138"/>
      <x:c r="G2" s="138"/>
      <x:c r="H2" s="138"/>
      <x:c r="I2" s="138"/>
      <x:c r="J2" s="138"/>
      <x:c r="K2" s="138"/>
      <x:c r="L2" s="138"/>
      <x:c r="M2" s="138"/>
      <x:c r="N2" s="138"/>
      <x:c r="O2" s="138"/>
      <x:c r="P2" s="138"/>
      <x:c r="Q2" s="138"/>
      <x:c r="R2" s="138"/>
      <x:c r="S2" s="138"/>
      <x:c r="T2" s="138"/>
      <x:c r="U2" s="138"/>
      <x:c r="V2" s="138"/>
      <x:c r="W2" s="138"/>
      <x:c r="X2" s="138"/>
      <x:c r="Y2" s="138"/>
      <x:c r="Z2" s="138"/>
    </x:row>
    <x:row r="3">
      <x:c r="A3" s="138"/>
      <x:c r="B3" s="138"/>
      <x:c r="C3" s="138"/>
      <x:c r="D3" s="138"/>
      <x:c r="E3" s="138"/>
      <x:c r="F3" s="138"/>
      <x:c r="G3" s="138"/>
      <x:c r="H3" s="138"/>
      <x:c r="I3" s="138"/>
      <x:c r="J3" s="138"/>
      <x:c r="K3" s="138"/>
      <x:c r="L3" s="138"/>
      <x:c r="M3" s="138"/>
      <x:c r="N3" s="138"/>
      <x:c r="O3" s="138"/>
      <x:c r="P3" s="138"/>
      <x:c r="Q3" s="138"/>
      <x:c r="R3" s="138"/>
      <x:c r="S3" s="138"/>
      <x:c r="T3" s="138"/>
      <x:c r="U3" s="138"/>
      <x:c r="V3" s="138"/>
      <x:c r="W3" s="138"/>
      <x:c r="X3" s="138"/>
      <x:c r="Y3" s="138"/>
      <x:c r="Z3" s="138"/>
    </x:row>
    <x:row r="4">
      <x:c r="A4" s="141" t="str">
        <x:v>Check</x:v>
      </x:c>
      <x:c r="B4" s="142" t="str">
        <x:v>Actual</x:v>
      </x:c>
      <x:c r="C4" s="142" t="str">
        <x:v>Expected</x:v>
      </x:c>
      <x:c r="D4" s="142" t="str">
        <x:v>Difference</x:v>
      </x:c>
      <x:c r="E4" s="142" t="str">
        <x:v>Tolerance</x:v>
      </x:c>
      <x:c r="F4" s="142" t="str">
        <x:v>Status</x:v>
      </x:c>
      <x:c r="G4" s="143" t="str">
        <x:v>Fix hint</x:v>
      </x:c>
      <x:c r="H4" s="138"/>
      <x:c r="I4" s="138"/>
      <x:c r="J4" s="138"/>
      <x:c r="K4" s="138"/>
      <x:c r="L4" s="138"/>
      <x:c r="M4" s="138"/>
      <x:c r="N4" s="138"/>
      <x:c r="O4" s="138"/>
      <x:c r="P4" s="138"/>
      <x:c r="Q4" s="138"/>
      <x:c r="R4" s="138"/>
      <x:c r="S4" s="138"/>
      <x:c r="T4" s="138"/>
      <x:c r="U4" s="138"/>
      <x:c r="V4" s="138"/>
      <x:c r="W4" s="138"/>
      <x:c r="X4" s="138"/>
      <x:c r="Y4" s="138"/>
      <x:c r="Z4" s="138"/>
    </x:row>
    <x:row r="5">
      <x:c r="A5" s="144" t="str">
        <x:v>Starter margin positive</x:v>
      </x:c>
      <x:c r="B5" s="197" t="n">
        <x:f>'Tier Model'!N6</x:f>
        <x:v>0.5998322147651006</x:v>
      </x:c>
      <x:c r="C5" s="151" t="n">
        <x:v>0</x:v>
      </x:c>
      <x:c r="D5" s="151" t="n">
        <x:f>B5-C5</x:f>
        <x:v>0.5998322147651006</x:v>
      </x:c>
      <x:c r="E5" s="151" t="n">
        <x:v>0</x:v>
      </x:c>
      <x:c r="F5" s="151" t="str">
        <x:f>IF(B5&gt;C5,"OK","FAIL")</x:f>
        <x:v>OK</x:v>
      </x:c>
      <x:c r="G5" s="146" t="str">
        <x:v>Raise price, lower credits, or reduce monitored universe.</x:v>
      </x:c>
      <x:c r="H5" s="138"/>
      <x:c r="I5" s="138"/>
      <x:c r="J5" s="138"/>
      <x:c r="K5" s="138"/>
      <x:c r="L5" s="138"/>
      <x:c r="M5" s="138"/>
      <x:c r="N5" s="138"/>
      <x:c r="O5" s="138"/>
      <x:c r="P5" s="138"/>
      <x:c r="Q5" s="138"/>
      <x:c r="R5" s="138"/>
      <x:c r="S5" s="138"/>
      <x:c r="T5" s="138"/>
      <x:c r="U5" s="138"/>
      <x:c r="V5" s="138"/>
      <x:c r="W5" s="138"/>
      <x:c r="X5" s="138"/>
      <x:c r="Y5" s="138"/>
      <x:c r="Z5" s="138"/>
    </x:row>
    <x:row r="6">
      <x:c r="A6" s="152" t="str">
        <x:v>Growth margin positive</x:v>
      </x:c>
      <x:c r="B6" s="199" t="n">
        <x:f>'Tier Model'!N7</x:f>
        <x:v>0.6277221526908635</x:v>
      </x:c>
      <x:c r="C6" s="154" t="n">
        <x:v>0</x:v>
      </x:c>
      <x:c r="D6" s="154" t="n">
        <x:f>B6-C6</x:f>
        <x:v>0.6277221526908635</x:v>
      </x:c>
      <x:c r="E6" s="154" t="n">
        <x:v>0</x:v>
      </x:c>
      <x:c r="F6" s="154" t="str">
        <x:f>IF(B6&gt;C6,"OK","FAIL")</x:f>
        <x:v>OK</x:v>
      </x:c>
      <x:c r="G6" s="155" t="str">
        <x:v>Growth monitoring volume is the main sensitivity.</x:v>
      </x:c>
      <x:c r="H6" s="138"/>
      <x:c r="I6" s="138"/>
      <x:c r="J6" s="138"/>
      <x:c r="K6" s="138"/>
      <x:c r="L6" s="138"/>
      <x:c r="M6" s="138"/>
      <x:c r="N6" s="138"/>
      <x:c r="O6" s="138"/>
      <x:c r="P6" s="138"/>
      <x:c r="Q6" s="138"/>
      <x:c r="R6" s="138"/>
      <x:c r="S6" s="138"/>
      <x:c r="T6" s="138"/>
      <x:c r="U6" s="138"/>
      <x:c r="V6" s="138"/>
      <x:c r="W6" s="138"/>
      <x:c r="X6" s="138"/>
      <x:c r="Y6" s="138"/>
      <x:c r="Z6" s="138"/>
    </x:row>
    <x:row r="7">
      <x:c r="A7" s="152" t="str">
        <x:v>Starter import spend preserves reserve</x:v>
      </x:c>
      <x:c r="B7" s="154" t="n">
        <x:f>'Tier Model'!I6</x:f>
        <x:v>300</x:v>
      </x:c>
      <x:c r="C7" s="154" t="n">
        <x:v>300</x:v>
      </x:c>
      <x:c r="D7" s="154" t="n">
        <x:f>B7-C7</x:f>
        <x:v>0</x:v>
      </x:c>
      <x:c r="E7" s="154" t="n">
        <x:v>0</x:v>
      </x:c>
      <x:c r="F7" s="154" t="str">
        <x:f>IF(ABS(D7)&lt;=E7,"OK","FAIL")</x:f>
        <x:v>OK</x:v>
      </x:c>
      <x:c r="G7" s="155" t="str">
        <x:v>Update Starter reserve/cap rule together.</x:v>
      </x:c>
      <x:c r="H7" s="138"/>
      <x:c r="I7" s="138"/>
      <x:c r="J7" s="138"/>
      <x:c r="K7" s="138"/>
      <x:c r="L7" s="138"/>
      <x:c r="M7" s="138"/>
      <x:c r="N7" s="138"/>
      <x:c r="O7" s="138"/>
      <x:c r="P7" s="138"/>
      <x:c r="Q7" s="138"/>
      <x:c r="R7" s="138"/>
      <x:c r="S7" s="138"/>
      <x:c r="T7" s="138"/>
      <x:c r="U7" s="138"/>
      <x:c r="V7" s="138"/>
      <x:c r="W7" s="138"/>
      <x:c r="X7" s="138"/>
      <x:c r="Y7" s="138"/>
      <x:c r="Z7" s="138"/>
    </x:row>
    <x:row r="8">
      <x:c r="A8" s="152" t="str">
        <x:v>Growth import spend preserves reserve</x:v>
      </x:c>
      <x:c r="B8" s="154" t="n">
        <x:f>'Tier Model'!I7</x:f>
        <x:v>1400</x:v>
      </x:c>
      <x:c r="C8" s="154" t="n">
        <x:v>1400</x:v>
      </x:c>
      <x:c r="D8" s="154" t="n">
        <x:f>B8-C8</x:f>
        <x:v>0</x:v>
      </x:c>
      <x:c r="E8" s="154" t="n">
        <x:v>0</x:v>
      </x:c>
      <x:c r="F8" s="154" t="str">
        <x:f>IF(ABS(D8)&lt;=E8,"OK","FAIL")</x:f>
        <x:v>OK</x:v>
      </x:c>
      <x:c r="G8" s="155" t="str">
        <x:v>Update Growth reserve/cap rule together.</x:v>
      </x:c>
      <x:c r="H8" s="138"/>
      <x:c r="I8" s="138"/>
      <x:c r="J8" s="138"/>
      <x:c r="K8" s="138"/>
      <x:c r="L8" s="138"/>
      <x:c r="M8" s="138"/>
      <x:c r="N8" s="138"/>
      <x:c r="O8" s="138"/>
      <x:c r="P8" s="138"/>
      <x:c r="Q8" s="138"/>
      <x:c r="R8" s="138"/>
      <x:c r="S8" s="138"/>
      <x:c r="T8" s="138"/>
      <x:c r="U8" s="138"/>
      <x:c r="V8" s="138"/>
      <x:c r="W8" s="138"/>
      <x:c r="X8" s="138"/>
      <x:c r="Y8" s="138"/>
      <x:c r="Z8" s="138"/>
    </x:row>
    <x:row r="9">
      <x:c r="A9" s="152" t="str">
        <x:v>Scenario credits tie</x:v>
      </x:c>
      <x:c r="B9" s="154" t="n">
        <x:f>'Scenario Model'!D28</x:f>
        <x:v>1311</x:v>
      </x:c>
      <x:c r="C9" s="154" t="n">
        <x:f>SUM('Scenario Model'!D21:D27)</x:f>
        <x:v>1311</x:v>
      </x:c>
      <x:c r="D9" s="154" t="n">
        <x:f>B9-C9</x:f>
        <x:v>0</x:v>
      </x:c>
      <x:c r="E9" s="154" t="n">
        <x:v>0.001</x:v>
      </x:c>
      <x:c r="F9" s="154" t="str">
        <x:f>IF(ABS(D9)&lt;=E9,"OK","FAIL")</x:f>
        <x:v>OK</x:v>
      </x:c>
      <x:c r="G9" s="155" t="str">
        <x:v>Review Scenario Model formulas.</x:v>
      </x:c>
      <x:c r="H9" s="138"/>
      <x:c r="I9" s="138"/>
      <x:c r="J9" s="138"/>
      <x:c r="K9" s="138"/>
      <x:c r="L9" s="138"/>
      <x:c r="M9" s="138"/>
      <x:c r="N9" s="138"/>
      <x:c r="O9" s="138"/>
      <x:c r="P9" s="138"/>
      <x:c r="Q9" s="138"/>
      <x:c r="R9" s="138"/>
      <x:c r="S9" s="138"/>
      <x:c r="T9" s="138"/>
      <x:c r="U9" s="138"/>
      <x:c r="V9" s="138"/>
      <x:c r="W9" s="138"/>
      <x:c r="X9" s="138"/>
      <x:c r="Y9" s="138"/>
      <x:c r="Z9" s="138"/>
    </x:row>
    <x:row r="10">
      <x:c r="A10" s="147" t="str">
        <x:v>Phone reveal is never automatic in target model</x:v>
      </x:c>
      <x:c r="B10" s="159" t="n">
        <x:f>IF('Action Credits'!H12="No",1,0)</x:f>
        <x:v>1</x:v>
      </x:c>
      <x:c r="C10" s="159" t="n">
        <x:v>1</x:v>
      </x:c>
      <x:c r="D10" s="159" t="n">
        <x:f>B10-C10</x:f>
        <x:v>0</x:v>
      </x:c>
      <x:c r="E10" s="159" t="n">
        <x:v>0</x:v>
      </x:c>
      <x:c r="F10" s="159" t="str">
        <x:f>IF(ABS(D10)&lt;=E10,"OK","FAIL")</x:f>
        <x:v>OK</x:v>
      </x:c>
      <x:c r="G10" s="149" t="str">
        <x:v>Set phone reveal to explicit click-only.</x:v>
      </x:c>
      <x:c r="H10" s="138"/>
      <x:c r="I10" s="138"/>
      <x:c r="J10" s="138"/>
      <x:c r="K10" s="138"/>
      <x:c r="L10" s="138"/>
      <x:c r="M10" s="138"/>
      <x:c r="N10" s="138"/>
      <x:c r="O10" s="138"/>
      <x:c r="P10" s="138"/>
      <x:c r="Q10" s="138"/>
      <x:c r="R10" s="138"/>
      <x:c r="S10" s="138"/>
      <x:c r="T10" s="138"/>
      <x:c r="U10" s="138"/>
      <x:c r="V10" s="138"/>
      <x:c r="W10" s="138"/>
      <x:c r="X10" s="138"/>
      <x:c r="Y10" s="138"/>
      <x:c r="Z10" s="138"/>
    </x:row>
    <x:row r="11">
      <x:c r="A11" s="261" t="str">
        <x:v>Free provisional allowance linked</x:v>
      </x:c>
      <x:c r="B11" s="261" t="n">
        <x:f>Assumptions!B38</x:f>
        <x:v>1</x:v>
      </x:c>
      <x:c r="C11" s="261" t="n">
        <x:v>1</x:v>
      </x:c>
      <x:c r="D11" s="261" t="n">
        <x:f>B11-C11</x:f>
        <x:v>0</x:v>
      </x:c>
      <x:c r="E11" s="261" t="n">
        <x:v>0</x:v>
      </x:c>
      <x:c r="F11" s="261" t="str">
        <x:f>IF(ABS(D11)&lt;=E11,"OK","FAIL")</x:f>
        <x:v>OK</x:v>
      </x:c>
      <x:c r="G11" s="261" t="str">
        <x:v>Update the Assumptions allowance rather than hard-coding Tier Model formulas.</x:v>
      </x:c>
      <x:c r="H11" s="138"/>
      <x:c r="I11" s="138"/>
      <x:c r="J11" s="138"/>
      <x:c r="K11" s="138"/>
      <x:c r="L11" s="138"/>
      <x:c r="M11" s="138"/>
      <x:c r="N11" s="138"/>
      <x:c r="O11" s="138"/>
      <x:c r="P11" s="138"/>
      <x:c r="Q11" s="138"/>
      <x:c r="R11" s="138"/>
      <x:c r="S11" s="138"/>
      <x:c r="T11" s="138"/>
      <x:c r="U11" s="138"/>
      <x:c r="V11" s="138"/>
      <x:c r="W11" s="138"/>
      <x:c r="X11" s="138"/>
      <x:c r="Y11" s="138"/>
      <x:c r="Z11" s="138"/>
    </x:row>
    <x:row r="12">
      <x:c r="A12" s="261" t="str">
        <x:v>Starter provisional allowance linked</x:v>
      </x:c>
      <x:c r="B12" s="261" t="n">
        <x:f>Assumptions!B39</x:f>
        <x:v>18</x:v>
      </x:c>
      <x:c r="C12" s="261" t="n">
        <x:v>18</x:v>
      </x:c>
      <x:c r="D12" s="261" t="n">
        <x:f>B12-C12</x:f>
        <x:v>0</x:v>
      </x:c>
      <x:c r="E12" s="261" t="n">
        <x:v>0</x:v>
      </x:c>
      <x:c r="F12" s="261" t="str">
        <x:f>IF(ABS(D12)&lt;=E12,"OK","FAIL")</x:f>
        <x:v>OK</x:v>
      </x:c>
      <x:c r="G12" s="261" t="str">
        <x:v>This is a provisional planning placeholder; replace with measured telemetry.</x:v>
      </x:c>
      <x:c r="H12" s="138"/>
      <x:c r="I12" s="138"/>
      <x:c r="J12" s="138"/>
      <x:c r="K12" s="138"/>
      <x:c r="L12" s="138"/>
      <x:c r="M12" s="138"/>
      <x:c r="N12" s="138"/>
      <x:c r="O12" s="138"/>
      <x:c r="P12" s="138"/>
      <x:c r="Q12" s="138"/>
      <x:c r="R12" s="138"/>
      <x:c r="S12" s="138"/>
      <x:c r="T12" s="138"/>
      <x:c r="U12" s="138"/>
      <x:c r="V12" s="138"/>
      <x:c r="W12" s="138"/>
      <x:c r="X12" s="138"/>
      <x:c r="Y12" s="138"/>
      <x:c r="Z12" s="138"/>
    </x:row>
    <x:row r="13">
      <x:c r="A13" s="261" t="str">
        <x:v>Growth provisional allowance linked</x:v>
      </x:c>
      <x:c r="B13" s="261" t="n">
        <x:f>Assumptions!B40</x:f>
        <x:v>41</x:v>
      </x:c>
      <x:c r="C13" s="261" t="n">
        <x:v>41</x:v>
      </x:c>
      <x:c r="D13" s="261" t="n">
        <x:f>B13-C13</x:f>
        <x:v>0</x:v>
      </x:c>
      <x:c r="E13" s="261" t="n">
        <x:v>0</x:v>
      </x:c>
      <x:c r="F13" s="261" t="str">
        <x:f>IF(ABS(D13)&lt;=E13,"OK","FAIL")</x:f>
        <x:v>OK</x:v>
      </x:c>
      <x:c r="G13" s="261" t="str">
        <x:v>This is a provisional planning placeholder; replace with measured telemetry.</x:v>
      </x:c>
      <x:c r="H13" s="138"/>
      <x:c r="I13" s="138"/>
      <x:c r="J13" s="138"/>
      <x:c r="K13" s="138"/>
      <x:c r="L13" s="138"/>
      <x:c r="M13" s="138"/>
      <x:c r="N13" s="138"/>
      <x:c r="O13" s="138"/>
      <x:c r="P13" s="138"/>
      <x:c r="Q13" s="138"/>
      <x:c r="R13" s="138"/>
      <x:c r="S13" s="138"/>
      <x:c r="T13" s="138"/>
      <x:c r="U13" s="138"/>
      <x:c r="V13" s="138"/>
      <x:c r="W13" s="138"/>
      <x:c r="X13" s="138"/>
      <x:c r="Y13" s="138"/>
      <x:c r="Z13" s="138"/>
    </x:row>
    <x:row r="14">
      <x:c r="A14" s="138"/>
      <x:c r="B14" s="138"/>
      <x:c r="C14" s="138"/>
      <x:c r="D14" s="138"/>
      <x:c r="E14" s="138"/>
      <x:c r="F14" s="138"/>
      <x:c r="G14" s="138"/>
      <x:c r="H14" s="138"/>
      <x:c r="I14" s="138"/>
      <x:c r="J14" s="138"/>
      <x:c r="K14" s="138"/>
      <x:c r="L14" s="138"/>
      <x:c r="M14" s="138"/>
      <x:c r="N14" s="138"/>
      <x:c r="O14" s="138"/>
      <x:c r="P14" s="138"/>
      <x:c r="Q14" s="138"/>
      <x:c r="R14" s="138"/>
      <x:c r="S14" s="138"/>
      <x:c r="T14" s="138"/>
      <x:c r="U14" s="138"/>
      <x:c r="V14" s="138"/>
      <x:c r="W14" s="138"/>
      <x:c r="X14" s="138"/>
      <x:c r="Y14" s="138"/>
      <x:c r="Z14" s="138"/>
    </x:row>
    <x:row r="15">
      <x:c r="A15" s="138"/>
      <x:c r="B15" s="138"/>
      <x:c r="C15" s="138"/>
      <x:c r="D15" s="138"/>
      <x:c r="E15" s="138"/>
      <x:c r="F15" s="138"/>
      <x:c r="G15" s="138"/>
      <x:c r="H15" s="138"/>
      <x:c r="I15" s="138"/>
      <x:c r="J15" s="138"/>
      <x:c r="K15" s="138"/>
      <x:c r="L15" s="138"/>
      <x:c r="M15" s="138"/>
      <x:c r="N15" s="138"/>
      <x:c r="O15" s="138"/>
      <x:c r="P15" s="138"/>
      <x:c r="Q15" s="138"/>
      <x:c r="R15" s="138"/>
      <x:c r="S15" s="138"/>
      <x:c r="T15" s="138"/>
      <x:c r="U15" s="138"/>
      <x:c r="V15" s="138"/>
      <x:c r="W15" s="138"/>
      <x:c r="X15" s="138"/>
      <x:c r="Y15" s="138"/>
      <x:c r="Z15" s="138"/>
    </x:row>
    <x:row r="16">
      <x:c r="A16" s="138"/>
      <x:c r="B16" s="138"/>
      <x:c r="C16" s="138"/>
      <x:c r="D16" s="138"/>
      <x:c r="E16" s="138"/>
      <x:c r="F16" s="138"/>
      <x:c r="G16" s="138"/>
      <x:c r="H16" s="138"/>
      <x:c r="I16" s="138"/>
      <x:c r="J16" s="138"/>
      <x:c r="K16" s="138"/>
      <x:c r="L16" s="138"/>
      <x:c r="M16" s="138"/>
      <x:c r="N16" s="138"/>
      <x:c r="O16" s="138"/>
      <x:c r="P16" s="138"/>
      <x:c r="Q16" s="138"/>
      <x:c r="R16" s="138"/>
      <x:c r="S16" s="138"/>
      <x:c r="T16" s="138"/>
      <x:c r="U16" s="138"/>
      <x:c r="V16" s="138"/>
      <x:c r="W16" s="138"/>
      <x:c r="X16" s="138"/>
      <x:c r="Y16" s="138"/>
      <x:c r="Z16" s="138"/>
    </x:row>
    <x:row r="17">
      <x:c r="A17" s="138"/>
      <x:c r="B17" s="138"/>
      <x:c r="C17" s="138"/>
      <x:c r="D17" s="138"/>
      <x:c r="E17" s="138"/>
      <x:c r="F17" s="138"/>
      <x:c r="G17" s="138"/>
      <x:c r="H17" s="138"/>
      <x:c r="I17" s="138"/>
      <x:c r="J17" s="138"/>
      <x:c r="K17" s="138"/>
      <x:c r="L17" s="138"/>
      <x:c r="M17" s="138"/>
      <x:c r="N17" s="138"/>
      <x:c r="O17" s="138"/>
      <x:c r="P17" s="138"/>
      <x:c r="Q17" s="138"/>
      <x:c r="R17" s="138"/>
      <x:c r="S17" s="138"/>
      <x:c r="T17" s="138"/>
      <x:c r="U17" s="138"/>
      <x:c r="V17" s="138"/>
      <x:c r="W17" s="138"/>
      <x:c r="X17" s="138"/>
      <x:c r="Y17" s="138"/>
      <x:c r="Z17" s="138"/>
    </x:row>
    <x:row r="18">
      <x:c r="A18" s="138"/>
      <x:c r="B18" s="138"/>
      <x:c r="C18" s="138"/>
      <x:c r="D18" s="138"/>
      <x:c r="E18" s="138"/>
      <x:c r="F18" s="138"/>
      <x:c r="G18" s="138"/>
      <x:c r="H18" s="138"/>
      <x:c r="I18" s="138"/>
      <x:c r="J18" s="138"/>
      <x:c r="K18" s="138"/>
      <x:c r="L18" s="138"/>
      <x:c r="M18" s="138"/>
      <x:c r="N18" s="138"/>
      <x:c r="O18" s="138"/>
      <x:c r="P18" s="138"/>
      <x:c r="Q18" s="138"/>
      <x:c r="R18" s="138"/>
      <x:c r="S18" s="138"/>
      <x:c r="T18" s="138"/>
      <x:c r="U18" s="138"/>
      <x:c r="V18" s="138"/>
      <x:c r="W18" s="138"/>
      <x:c r="X18" s="138"/>
      <x:c r="Y18" s="138"/>
      <x:c r="Z18" s="138"/>
    </x:row>
    <x:row r="19">
      <x:c r="A19" s="138"/>
      <x:c r="B19" s="138"/>
      <x:c r="C19" s="138"/>
      <x:c r="D19" s="138"/>
      <x:c r="E19" s="138"/>
      <x:c r="F19" s="138"/>
      <x:c r="G19" s="138"/>
      <x:c r="H19" s="138"/>
      <x:c r="I19" s="138"/>
      <x:c r="J19" s="138"/>
      <x:c r="K19" s="138"/>
      <x:c r="L19" s="138"/>
      <x:c r="M19" s="138"/>
      <x:c r="N19" s="138"/>
      <x:c r="O19" s="138"/>
      <x:c r="P19" s="138"/>
      <x:c r="Q19" s="138"/>
      <x:c r="R19" s="138"/>
      <x:c r="S19" s="138"/>
      <x:c r="T19" s="138"/>
      <x:c r="U19" s="138"/>
      <x:c r="V19" s="138"/>
      <x:c r="W19" s="138"/>
      <x:c r="X19" s="138"/>
      <x:c r="Y19" s="138"/>
      <x:c r="Z19" s="138"/>
    </x:row>
    <x:row r="20">
      <x:c r="A20" s="138"/>
      <x:c r="B20" s="138"/>
      <x:c r="C20" s="138"/>
      <x:c r="D20" s="138"/>
      <x:c r="E20" s="138"/>
      <x:c r="F20" s="138"/>
      <x:c r="G20" s="138"/>
      <x:c r="H20" s="138"/>
      <x:c r="I20" s="138"/>
      <x:c r="J20" s="138"/>
      <x:c r="K20" s="138"/>
      <x:c r="L20" s="138"/>
      <x:c r="M20" s="138"/>
      <x:c r="N20" s="138"/>
      <x:c r="O20" s="138"/>
      <x:c r="P20" s="138"/>
      <x:c r="Q20" s="138"/>
      <x:c r="R20" s="138"/>
      <x:c r="S20" s="138"/>
      <x:c r="T20" s="138"/>
      <x:c r="U20" s="138"/>
      <x:c r="V20" s="138"/>
      <x:c r="W20" s="138"/>
      <x:c r="X20" s="138"/>
      <x:c r="Y20" s="138"/>
      <x:c r="Z20" s="138"/>
    </x:row>
    <x:row r="21">
      <x:c r="A21" s="138"/>
      <x:c r="B21" s="138"/>
      <x:c r="C21" s="138"/>
      <x:c r="D21" s="138"/>
      <x:c r="E21" s="138"/>
      <x:c r="F21" s="138"/>
      <x:c r="G21" s="138"/>
      <x:c r="H21" s="138"/>
      <x:c r="I21" s="138"/>
      <x:c r="J21" s="138"/>
      <x:c r="K21" s="138"/>
      <x:c r="L21" s="138"/>
      <x:c r="M21" s="138"/>
      <x:c r="N21" s="138"/>
      <x:c r="O21" s="138"/>
      <x:c r="P21" s="138"/>
      <x:c r="Q21" s="138"/>
      <x:c r="R21" s="138"/>
      <x:c r="S21" s="138"/>
      <x:c r="T21" s="138"/>
      <x:c r="U21" s="138"/>
      <x:c r="V21" s="138"/>
      <x:c r="W21" s="138"/>
      <x:c r="X21" s="138"/>
      <x:c r="Y21" s="138"/>
      <x:c r="Z21" s="138"/>
    </x:row>
    <x:row r="22">
      <x:c r="A22" s="138"/>
      <x:c r="B22" s="138"/>
      <x:c r="C22" s="138"/>
      <x:c r="D22" s="138"/>
      <x:c r="E22" s="138"/>
      <x:c r="F22" s="138"/>
      <x:c r="G22" s="138"/>
      <x:c r="H22" s="138"/>
      <x:c r="I22" s="138"/>
      <x:c r="J22" s="138"/>
      <x:c r="K22" s="138"/>
      <x:c r="L22" s="138"/>
      <x:c r="M22" s="138"/>
      <x:c r="N22" s="138"/>
      <x:c r="O22" s="138"/>
      <x:c r="P22" s="138"/>
      <x:c r="Q22" s="138"/>
      <x:c r="R22" s="138"/>
      <x:c r="S22" s="138"/>
      <x:c r="T22" s="138"/>
      <x:c r="U22" s="138"/>
      <x:c r="V22" s="138"/>
      <x:c r="W22" s="138"/>
      <x:c r="X22" s="138"/>
      <x:c r="Y22" s="138"/>
      <x:c r="Z22" s="138"/>
    </x:row>
    <x:row r="23">
      <x:c r="A23" s="138"/>
      <x:c r="B23" s="138"/>
      <x:c r="C23" s="138"/>
      <x:c r="D23" s="138"/>
      <x:c r="E23" s="138"/>
      <x:c r="F23" s="138"/>
      <x:c r="G23" s="138"/>
      <x:c r="H23" s="138"/>
      <x:c r="I23" s="138"/>
      <x:c r="J23" s="138"/>
      <x:c r="K23" s="138"/>
      <x:c r="L23" s="138"/>
      <x:c r="M23" s="138"/>
      <x:c r="N23" s="138"/>
      <x:c r="O23" s="138"/>
      <x:c r="P23" s="138"/>
      <x:c r="Q23" s="138"/>
      <x:c r="R23" s="138"/>
      <x:c r="S23" s="138"/>
      <x:c r="T23" s="138"/>
      <x:c r="U23" s="138"/>
      <x:c r="V23" s="138"/>
      <x:c r="W23" s="138"/>
      <x:c r="X23" s="138"/>
      <x:c r="Y23" s="138"/>
      <x:c r="Z23" s="138"/>
    </x:row>
    <x:row r="24">
      <x:c r="A24" s="138"/>
      <x:c r="B24" s="138"/>
      <x:c r="C24" s="138"/>
      <x:c r="D24" s="138"/>
      <x:c r="E24" s="138"/>
      <x:c r="F24" s="138"/>
      <x:c r="G24" s="138"/>
      <x:c r="H24" s="138"/>
      <x:c r="I24" s="138"/>
      <x:c r="J24" s="138"/>
      <x:c r="K24" s="138"/>
      <x:c r="L24" s="138"/>
      <x:c r="M24" s="138"/>
      <x:c r="N24" s="138"/>
      <x:c r="O24" s="138"/>
      <x:c r="P24" s="138"/>
      <x:c r="Q24" s="138"/>
      <x:c r="R24" s="138"/>
      <x:c r="S24" s="138"/>
      <x:c r="T24" s="138"/>
      <x:c r="U24" s="138"/>
      <x:c r="V24" s="138"/>
      <x:c r="W24" s="138"/>
      <x:c r="X24" s="138"/>
      <x:c r="Y24" s="138"/>
      <x:c r="Z24" s="138"/>
    </x:row>
    <x:row r="25">
      <x:c r="A25" s="138"/>
      <x:c r="B25" s="138"/>
      <x:c r="C25" s="138"/>
      <x:c r="D25" s="138"/>
      <x:c r="E25" s="138"/>
      <x:c r="F25" s="138"/>
      <x:c r="G25" s="138"/>
      <x:c r="H25" s="138"/>
      <x:c r="I25" s="138"/>
      <x:c r="J25" s="138"/>
      <x:c r="K25" s="138"/>
      <x:c r="L25" s="138"/>
      <x:c r="M25" s="138"/>
      <x:c r="N25" s="138"/>
      <x:c r="O25" s="138"/>
      <x:c r="P25" s="138"/>
      <x:c r="Q25" s="138"/>
      <x:c r="R25" s="138"/>
      <x:c r="S25" s="138"/>
      <x:c r="T25" s="138"/>
      <x:c r="U25" s="138"/>
      <x:c r="V25" s="138"/>
      <x:c r="W25" s="138"/>
      <x:c r="X25" s="138"/>
      <x:c r="Y25" s="138"/>
      <x:c r="Z25" s="138"/>
    </x:row>
    <x:row r="26">
      <x:c r="A26" s="138"/>
      <x:c r="B26" s="138"/>
      <x:c r="C26" s="138"/>
      <x:c r="D26" s="138"/>
      <x:c r="E26" s="138"/>
      <x:c r="F26" s="138"/>
      <x:c r="G26" s="138"/>
      <x:c r="H26" s="138"/>
      <x:c r="I26" s="138"/>
      <x:c r="J26" s="138"/>
      <x:c r="K26" s="138"/>
      <x:c r="L26" s="138"/>
      <x:c r="M26" s="138"/>
      <x:c r="N26" s="138"/>
      <x:c r="O26" s="138"/>
      <x:c r="P26" s="138"/>
      <x:c r="Q26" s="138"/>
      <x:c r="R26" s="138"/>
      <x:c r="S26" s="138"/>
      <x:c r="T26" s="138"/>
      <x:c r="U26" s="138"/>
      <x:c r="V26" s="138"/>
      <x:c r="W26" s="138"/>
      <x:c r="X26" s="138"/>
      <x:c r="Y26" s="138"/>
      <x:c r="Z26" s="138"/>
    </x:row>
    <x:row r="27">
      <x:c r="A27" s="138"/>
      <x:c r="B27" s="138"/>
      <x:c r="C27" s="138"/>
      <x:c r="D27" s="138"/>
      <x:c r="E27" s="138"/>
      <x:c r="F27" s="138"/>
      <x:c r="G27" s="138"/>
      <x:c r="H27" s="138"/>
      <x:c r="I27" s="138"/>
      <x:c r="J27" s="138"/>
      <x:c r="K27" s="138"/>
      <x:c r="L27" s="138"/>
      <x:c r="M27" s="138"/>
      <x:c r="N27" s="138"/>
      <x:c r="O27" s="138"/>
      <x:c r="P27" s="138"/>
      <x:c r="Q27" s="138"/>
      <x:c r="R27" s="138"/>
      <x:c r="S27" s="138"/>
      <x:c r="T27" s="138"/>
      <x:c r="U27" s="138"/>
      <x:c r="V27" s="138"/>
      <x:c r="W27" s="138"/>
      <x:c r="X27" s="138"/>
      <x:c r="Y27" s="138"/>
      <x:c r="Z27" s="138"/>
    </x:row>
    <x:row r="28">
      <x:c r="A28" s="138"/>
      <x:c r="B28" s="138"/>
      <x:c r="C28" s="138"/>
      <x:c r="D28" s="138"/>
      <x:c r="E28" s="138"/>
      <x:c r="F28" s="138"/>
      <x:c r="G28" s="138"/>
      <x:c r="H28" s="138"/>
      <x:c r="I28" s="138"/>
      <x:c r="J28" s="138"/>
      <x:c r="K28" s="138"/>
      <x:c r="L28" s="138"/>
      <x:c r="M28" s="138"/>
      <x:c r="N28" s="138"/>
      <x:c r="O28" s="138"/>
      <x:c r="P28" s="138"/>
      <x:c r="Q28" s="138"/>
      <x:c r="R28" s="138"/>
      <x:c r="S28" s="138"/>
      <x:c r="T28" s="138"/>
      <x:c r="U28" s="138"/>
      <x:c r="V28" s="138"/>
      <x:c r="W28" s="138"/>
      <x:c r="X28" s="138"/>
      <x:c r="Y28" s="138"/>
      <x:c r="Z28" s="138"/>
    </x:row>
    <x:row r="29">
      <x:c r="A29" s="138"/>
      <x:c r="B29" s="138"/>
      <x:c r="C29" s="138"/>
      <x:c r="D29" s="138"/>
      <x:c r="E29" s="138"/>
      <x:c r="F29" s="138"/>
      <x:c r="G29" s="138"/>
      <x:c r="H29" s="138"/>
      <x:c r="I29" s="138"/>
      <x:c r="J29" s="138"/>
      <x:c r="K29" s="138"/>
      <x:c r="L29" s="138"/>
      <x:c r="M29" s="138"/>
      <x:c r="N29" s="138"/>
      <x:c r="O29" s="138"/>
      <x:c r="P29" s="138"/>
      <x:c r="Q29" s="138"/>
      <x:c r="R29" s="138"/>
      <x:c r="S29" s="138"/>
      <x:c r="T29" s="138"/>
      <x:c r="U29" s="138"/>
      <x:c r="V29" s="138"/>
      <x:c r="W29" s="138"/>
      <x:c r="X29" s="138"/>
      <x:c r="Y29" s="138"/>
      <x:c r="Z29" s="138"/>
    </x:row>
    <x:row r="30">
      <x:c r="A30" s="138"/>
      <x:c r="B30" s="138"/>
      <x:c r="C30" s="138"/>
      <x:c r="D30" s="138"/>
      <x:c r="E30" s="138"/>
      <x:c r="F30" s="138"/>
      <x:c r="G30" s="138"/>
      <x:c r="H30" s="138"/>
      <x:c r="I30" s="138"/>
      <x:c r="J30" s="138"/>
      <x:c r="K30" s="138"/>
      <x:c r="L30" s="138"/>
      <x:c r="M30" s="138"/>
      <x:c r="N30" s="138"/>
      <x:c r="O30" s="138"/>
      <x:c r="P30" s="138"/>
      <x:c r="Q30" s="138"/>
      <x:c r="R30" s="138"/>
      <x:c r="S30" s="138"/>
      <x:c r="T30" s="138"/>
      <x:c r="U30" s="138"/>
      <x:c r="V30" s="138"/>
      <x:c r="W30" s="138"/>
      <x:c r="X30" s="138"/>
      <x:c r="Y30" s="138"/>
      <x:c r="Z30" s="138"/>
    </x:row>
    <x:row r="31">
      <x:c r="A31" s="138"/>
      <x:c r="B31" s="138"/>
      <x:c r="C31" s="138"/>
      <x:c r="D31" s="138"/>
      <x:c r="E31" s="138"/>
      <x:c r="F31" s="138"/>
      <x:c r="G31" s="138"/>
      <x:c r="H31" s="138"/>
      <x:c r="I31" s="138"/>
      <x:c r="J31" s="138"/>
      <x:c r="K31" s="138"/>
      <x:c r="L31" s="138"/>
      <x:c r="M31" s="138"/>
      <x:c r="N31" s="138"/>
      <x:c r="O31" s="138"/>
      <x:c r="P31" s="138"/>
      <x:c r="Q31" s="138"/>
      <x:c r="R31" s="138"/>
      <x:c r="S31" s="138"/>
      <x:c r="T31" s="138"/>
      <x:c r="U31" s="138"/>
      <x:c r="V31" s="138"/>
      <x:c r="W31" s="138"/>
      <x:c r="X31" s="138"/>
      <x:c r="Y31" s="138"/>
      <x:c r="Z31" s="138"/>
    </x:row>
    <x:row r="32">
      <x:c r="A32" s="138"/>
      <x:c r="B32" s="138"/>
      <x:c r="C32" s="138"/>
      <x:c r="D32" s="138"/>
      <x:c r="E32" s="138"/>
      <x:c r="F32" s="138"/>
      <x:c r="G32" s="138"/>
      <x:c r="H32" s="138"/>
      <x:c r="I32" s="138"/>
      <x:c r="J32" s="138"/>
      <x:c r="K32" s="138"/>
      <x:c r="L32" s="138"/>
      <x:c r="M32" s="138"/>
      <x:c r="N32" s="138"/>
      <x:c r="O32" s="138"/>
      <x:c r="P32" s="138"/>
      <x:c r="Q32" s="138"/>
      <x:c r="R32" s="138"/>
      <x:c r="S32" s="138"/>
      <x:c r="T32" s="138"/>
      <x:c r="U32" s="138"/>
      <x:c r="V32" s="138"/>
      <x:c r="W32" s="138"/>
      <x:c r="X32" s="138"/>
      <x:c r="Y32" s="138"/>
      <x:c r="Z32" s="138"/>
    </x:row>
    <x:row r="33">
      <x:c r="A33" s="138"/>
      <x:c r="B33" s="138"/>
      <x:c r="C33" s="138"/>
      <x:c r="D33" s="138"/>
      <x:c r="E33" s="138"/>
      <x:c r="F33" s="138"/>
      <x:c r="G33" s="138"/>
      <x:c r="H33" s="138"/>
      <x:c r="I33" s="138"/>
      <x:c r="J33" s="138"/>
      <x:c r="K33" s="138"/>
      <x:c r="L33" s="138"/>
      <x:c r="M33" s="138"/>
      <x:c r="N33" s="138"/>
      <x:c r="O33" s="138"/>
      <x:c r="P33" s="138"/>
      <x:c r="Q33" s="138"/>
      <x:c r="R33" s="138"/>
      <x:c r="S33" s="138"/>
      <x:c r="T33" s="138"/>
      <x:c r="U33" s="138"/>
      <x:c r="V33" s="138"/>
      <x:c r="W33" s="138"/>
      <x:c r="X33" s="138"/>
      <x:c r="Y33" s="138"/>
      <x:c r="Z33" s="138"/>
    </x:row>
    <x:row r="34">
      <x:c r="A34" s="138"/>
      <x:c r="B34" s="138"/>
      <x:c r="C34" s="138"/>
      <x:c r="D34" s="138"/>
      <x:c r="E34" s="138"/>
      <x:c r="F34" s="138"/>
      <x:c r="G34" s="138"/>
      <x:c r="H34" s="138"/>
      <x:c r="I34" s="138"/>
      <x:c r="J34" s="138"/>
      <x:c r="K34" s="138"/>
      <x:c r="L34" s="138"/>
      <x:c r="M34" s="138"/>
      <x:c r="N34" s="138"/>
      <x:c r="O34" s="138"/>
      <x:c r="P34" s="138"/>
      <x:c r="Q34" s="138"/>
      <x:c r="R34" s="138"/>
      <x:c r="S34" s="138"/>
      <x:c r="T34" s="138"/>
      <x:c r="U34" s="138"/>
      <x:c r="V34" s="138"/>
      <x:c r="W34" s="138"/>
      <x:c r="X34" s="138"/>
      <x:c r="Y34" s="138"/>
      <x:c r="Z34" s="138"/>
    </x:row>
    <x:row r="35">
      <x:c r="A35" s="138"/>
      <x:c r="B35" s="138"/>
      <x:c r="C35" s="138"/>
      <x:c r="D35" s="138"/>
      <x:c r="E35" s="138"/>
      <x:c r="F35" s="138"/>
      <x:c r="G35" s="138"/>
      <x:c r="H35" s="138"/>
      <x:c r="I35" s="138"/>
      <x:c r="J35" s="138"/>
      <x:c r="K35" s="138"/>
      <x:c r="L35" s="138"/>
      <x:c r="M35" s="138"/>
      <x:c r="N35" s="138"/>
      <x:c r="O35" s="138"/>
      <x:c r="P35" s="138"/>
      <x:c r="Q35" s="138"/>
      <x:c r="R35" s="138"/>
      <x:c r="S35" s="138"/>
      <x:c r="T35" s="138"/>
      <x:c r="U35" s="138"/>
      <x:c r="V35" s="138"/>
      <x:c r="W35" s="138"/>
      <x:c r="X35" s="138"/>
      <x:c r="Y35" s="138"/>
      <x:c r="Z35" s="138"/>
    </x:row>
    <x:row r="36">
      <x:c r="A36" s="138"/>
      <x:c r="B36" s="138"/>
      <x:c r="C36" s="138"/>
      <x:c r="D36" s="138"/>
      <x:c r="E36" s="138"/>
      <x:c r="F36" s="138"/>
      <x:c r="G36" s="138"/>
      <x:c r="H36" s="138"/>
      <x:c r="I36" s="138"/>
      <x:c r="J36" s="138"/>
      <x:c r="K36" s="138"/>
      <x:c r="L36" s="138"/>
      <x:c r="M36" s="138"/>
      <x:c r="N36" s="138"/>
      <x:c r="O36" s="138"/>
      <x:c r="P36" s="138"/>
      <x:c r="Q36" s="138"/>
      <x:c r="R36" s="138"/>
      <x:c r="S36" s="138"/>
      <x:c r="T36" s="138"/>
      <x:c r="U36" s="138"/>
      <x:c r="V36" s="138"/>
      <x:c r="W36" s="138"/>
      <x:c r="X36" s="138"/>
      <x:c r="Y36" s="138"/>
      <x:c r="Z36" s="138"/>
    </x:row>
    <x:row r="37">
      <x:c r="A37" s="138"/>
      <x:c r="B37" s="138"/>
      <x:c r="C37" s="138"/>
      <x:c r="D37" s="138"/>
      <x:c r="E37" s="138"/>
      <x:c r="F37" s="138"/>
      <x:c r="G37" s="138"/>
      <x:c r="H37" s="138"/>
      <x:c r="I37" s="138"/>
      <x:c r="J37" s="138"/>
      <x:c r="K37" s="138"/>
      <x:c r="L37" s="138"/>
      <x:c r="M37" s="138"/>
      <x:c r="N37" s="138"/>
      <x:c r="O37" s="138"/>
      <x:c r="P37" s="138"/>
      <x:c r="Q37" s="138"/>
      <x:c r="R37" s="138"/>
      <x:c r="S37" s="138"/>
      <x:c r="T37" s="138"/>
      <x:c r="U37" s="138"/>
      <x:c r="V37" s="138"/>
      <x:c r="W37" s="138"/>
      <x:c r="X37" s="138"/>
      <x:c r="Y37" s="138"/>
      <x:c r="Z37" s="138"/>
    </x:row>
    <x:row r="38">
      <x:c r="A38" s="138"/>
      <x:c r="B38" s="138"/>
      <x:c r="C38" s="138"/>
      <x:c r="D38" s="138"/>
      <x:c r="E38" s="138"/>
      <x:c r="F38" s="138"/>
      <x:c r="G38" s="138"/>
      <x:c r="H38" s="138"/>
      <x:c r="I38" s="138"/>
      <x:c r="J38" s="138"/>
      <x:c r="K38" s="138"/>
      <x:c r="L38" s="138"/>
      <x:c r="M38" s="138"/>
      <x:c r="N38" s="138"/>
      <x:c r="O38" s="138"/>
      <x:c r="P38" s="138"/>
      <x:c r="Q38" s="138"/>
      <x:c r="R38" s="138"/>
      <x:c r="S38" s="138"/>
      <x:c r="T38" s="138"/>
      <x:c r="U38" s="138"/>
      <x:c r="V38" s="138"/>
      <x:c r="W38" s="138"/>
      <x:c r="X38" s="138"/>
      <x:c r="Y38" s="138"/>
      <x:c r="Z38" s="138"/>
    </x:row>
    <x:row r="39">
      <x:c r="A39" s="138"/>
      <x:c r="B39" s="138"/>
      <x:c r="C39" s="138"/>
      <x:c r="D39" s="138"/>
      <x:c r="E39" s="138"/>
      <x:c r="F39" s="138"/>
      <x:c r="G39" s="138"/>
      <x:c r="H39" s="138"/>
      <x:c r="I39" s="138"/>
      <x:c r="J39" s="138"/>
      <x:c r="K39" s="138"/>
      <x:c r="L39" s="138"/>
      <x:c r="M39" s="138"/>
      <x:c r="N39" s="138"/>
      <x:c r="O39" s="138"/>
      <x:c r="P39" s="138"/>
      <x:c r="Q39" s="138"/>
      <x:c r="R39" s="138"/>
      <x:c r="S39" s="138"/>
      <x:c r="T39" s="138"/>
      <x:c r="U39" s="138"/>
      <x:c r="V39" s="138"/>
      <x:c r="W39" s="138"/>
      <x:c r="X39" s="138"/>
      <x:c r="Y39" s="138"/>
      <x:c r="Z39" s="138"/>
    </x:row>
    <x:row r="40">
      <x:c r="A40" s="138"/>
      <x:c r="B40" s="138"/>
      <x:c r="C40" s="138"/>
      <x:c r="D40" s="138"/>
      <x:c r="E40" s="138"/>
      <x:c r="F40" s="138"/>
      <x:c r="G40" s="138"/>
      <x:c r="H40" s="138"/>
      <x:c r="I40" s="138"/>
      <x:c r="J40" s="138"/>
      <x:c r="K40" s="138"/>
      <x:c r="L40" s="138"/>
      <x:c r="M40" s="138"/>
      <x:c r="N40" s="138"/>
      <x:c r="O40" s="138"/>
      <x:c r="P40" s="138"/>
      <x:c r="Q40" s="138"/>
      <x:c r="R40" s="138"/>
      <x:c r="S40" s="138"/>
      <x:c r="T40" s="138"/>
      <x:c r="U40" s="138"/>
      <x:c r="V40" s="138"/>
      <x:c r="W40" s="138"/>
      <x:c r="X40" s="138"/>
      <x:c r="Y40" s="138"/>
      <x:c r="Z40" s="138"/>
    </x:row>
    <x:row r="41">
      <x:c r="A41" s="138"/>
      <x:c r="B41" s="138"/>
      <x:c r="C41" s="138"/>
      <x:c r="D41" s="138"/>
      <x:c r="E41" s="138"/>
      <x:c r="F41" s="138"/>
      <x:c r="G41" s="138"/>
      <x:c r="H41" s="138"/>
      <x:c r="I41" s="138"/>
      <x:c r="J41" s="138"/>
      <x:c r="K41" s="138"/>
      <x:c r="L41" s="138"/>
      <x:c r="M41" s="138"/>
      <x:c r="N41" s="138"/>
      <x:c r="O41" s="138"/>
      <x:c r="P41" s="138"/>
      <x:c r="Q41" s="138"/>
      <x:c r="R41" s="138"/>
      <x:c r="S41" s="138"/>
      <x:c r="T41" s="138"/>
      <x:c r="U41" s="138"/>
      <x:c r="V41" s="138"/>
      <x:c r="W41" s="138"/>
      <x:c r="X41" s="138"/>
      <x:c r="Y41" s="138"/>
      <x:c r="Z41" s="138"/>
    </x:row>
    <x:row r="42">
      <x:c r="A42" s="138"/>
      <x:c r="B42" s="138"/>
      <x:c r="C42" s="138"/>
      <x:c r="D42" s="138"/>
      <x:c r="E42" s="138"/>
      <x:c r="F42" s="138"/>
      <x:c r="G42" s="138"/>
      <x:c r="H42" s="138"/>
      <x:c r="I42" s="138"/>
      <x:c r="J42" s="138"/>
      <x:c r="K42" s="138"/>
      <x:c r="L42" s="138"/>
      <x:c r="M42" s="138"/>
      <x:c r="N42" s="138"/>
      <x:c r="O42" s="138"/>
      <x:c r="P42" s="138"/>
      <x:c r="Q42" s="138"/>
      <x:c r="R42" s="138"/>
      <x:c r="S42" s="138"/>
      <x:c r="T42" s="138"/>
      <x:c r="U42" s="138"/>
      <x:c r="V42" s="138"/>
      <x:c r="W42" s="138"/>
      <x:c r="X42" s="138"/>
      <x:c r="Y42" s="138"/>
      <x:c r="Z42" s="138"/>
    </x:row>
    <x:row r="43">
      <x:c r="A43" s="138"/>
      <x:c r="B43" s="138"/>
      <x:c r="C43" s="138"/>
      <x:c r="D43" s="138"/>
      <x:c r="E43" s="138"/>
      <x:c r="F43" s="138"/>
      <x:c r="G43" s="138"/>
      <x:c r="H43" s="138"/>
      <x:c r="I43" s="138"/>
      <x:c r="J43" s="138"/>
      <x:c r="K43" s="138"/>
      <x:c r="L43" s="138"/>
      <x:c r="M43" s="138"/>
      <x:c r="N43" s="138"/>
      <x:c r="O43" s="138"/>
      <x:c r="P43" s="138"/>
      <x:c r="Q43" s="138"/>
      <x:c r="R43" s="138"/>
      <x:c r="S43" s="138"/>
      <x:c r="T43" s="138"/>
      <x:c r="U43" s="138"/>
      <x:c r="V43" s="138"/>
      <x:c r="W43" s="138"/>
      <x:c r="X43" s="138"/>
      <x:c r="Y43" s="138"/>
      <x:c r="Z43" s="138"/>
    </x:row>
    <x:row r="44">
      <x:c r="A44" s="138"/>
      <x:c r="B44" s="138"/>
      <x:c r="C44" s="138"/>
      <x:c r="D44" s="138"/>
      <x:c r="E44" s="138"/>
      <x:c r="F44" s="138"/>
      <x:c r="G44" s="138"/>
      <x:c r="H44" s="138"/>
      <x:c r="I44" s="138"/>
      <x:c r="J44" s="138"/>
      <x:c r="K44" s="138"/>
      <x:c r="L44" s="138"/>
      <x:c r="M44" s="138"/>
      <x:c r="N44" s="138"/>
      <x:c r="O44" s="138"/>
      <x:c r="P44" s="138"/>
      <x:c r="Q44" s="138"/>
      <x:c r="R44" s="138"/>
      <x:c r="S44" s="138"/>
      <x:c r="T44" s="138"/>
      <x:c r="U44" s="138"/>
      <x:c r="V44" s="138"/>
      <x:c r="W44" s="138"/>
      <x:c r="X44" s="138"/>
      <x:c r="Y44" s="138"/>
      <x:c r="Z44" s="138"/>
    </x:row>
    <x:row r="45">
      <x:c r="A45" s="138"/>
      <x:c r="B45" s="138"/>
      <x:c r="C45" s="138"/>
      <x:c r="D45" s="138"/>
      <x:c r="E45" s="138"/>
      <x:c r="F45" s="138"/>
      <x:c r="G45" s="138"/>
      <x:c r="H45" s="138"/>
      <x:c r="I45" s="138"/>
      <x:c r="J45" s="138"/>
      <x:c r="K45" s="138"/>
      <x:c r="L45" s="138"/>
      <x:c r="M45" s="138"/>
      <x:c r="N45" s="138"/>
      <x:c r="O45" s="138"/>
      <x:c r="P45" s="138"/>
      <x:c r="Q45" s="138"/>
      <x:c r="R45" s="138"/>
      <x:c r="S45" s="138"/>
      <x:c r="T45" s="138"/>
      <x:c r="U45" s="138"/>
      <x:c r="V45" s="138"/>
      <x:c r="W45" s="138"/>
      <x:c r="X45" s="138"/>
      <x:c r="Y45" s="138"/>
      <x:c r="Z45" s="138"/>
    </x:row>
    <x:row r="46">
      <x:c r="A46" s="138"/>
      <x:c r="B46" s="138"/>
      <x:c r="C46" s="138"/>
      <x:c r="D46" s="138"/>
      <x:c r="E46" s="138"/>
      <x:c r="F46" s="138"/>
      <x:c r="G46" s="138"/>
      <x:c r="H46" s="138"/>
      <x:c r="I46" s="138"/>
      <x:c r="J46" s="138"/>
      <x:c r="K46" s="138"/>
      <x:c r="L46" s="138"/>
      <x:c r="M46" s="138"/>
      <x:c r="N46" s="138"/>
      <x:c r="O46" s="138"/>
      <x:c r="P46" s="138"/>
      <x:c r="Q46" s="138"/>
      <x:c r="R46" s="138"/>
      <x:c r="S46" s="138"/>
      <x:c r="T46" s="138"/>
      <x:c r="U46" s="138"/>
      <x:c r="V46" s="138"/>
      <x:c r="W46" s="138"/>
      <x:c r="X46" s="138"/>
      <x:c r="Y46" s="138"/>
      <x:c r="Z46" s="138"/>
    </x:row>
    <x:row r="47">
      <x:c r="A47" s="138"/>
      <x:c r="B47" s="138"/>
      <x:c r="C47" s="138"/>
      <x:c r="D47" s="138"/>
      <x:c r="E47" s="138"/>
      <x:c r="F47" s="138"/>
      <x:c r="G47" s="138"/>
      <x:c r="H47" s="138"/>
      <x:c r="I47" s="138"/>
      <x:c r="J47" s="138"/>
      <x:c r="K47" s="138"/>
      <x:c r="L47" s="138"/>
      <x:c r="M47" s="138"/>
      <x:c r="N47" s="138"/>
      <x:c r="O47" s="138"/>
      <x:c r="P47" s="138"/>
      <x:c r="Q47" s="138"/>
      <x:c r="R47" s="138"/>
      <x:c r="S47" s="138"/>
      <x:c r="T47" s="138"/>
      <x:c r="U47" s="138"/>
      <x:c r="V47" s="138"/>
      <x:c r="W47" s="138"/>
      <x:c r="X47" s="138"/>
      <x:c r="Y47" s="138"/>
      <x:c r="Z47" s="138"/>
    </x:row>
    <x:row r="48">
      <x:c r="A48" s="138"/>
      <x:c r="B48" s="138"/>
      <x:c r="C48" s="138"/>
      <x:c r="D48" s="138"/>
      <x:c r="E48" s="138"/>
      <x:c r="F48" s="138"/>
      <x:c r="G48" s="138"/>
      <x:c r="H48" s="138"/>
      <x:c r="I48" s="138"/>
      <x:c r="J48" s="138"/>
      <x:c r="K48" s="138"/>
      <x:c r="L48" s="138"/>
      <x:c r="M48" s="138"/>
      <x:c r="N48" s="138"/>
      <x:c r="O48" s="138"/>
      <x:c r="P48" s="138"/>
      <x:c r="Q48" s="138"/>
      <x:c r="R48" s="138"/>
      <x:c r="S48" s="138"/>
      <x:c r="T48" s="138"/>
      <x:c r="U48" s="138"/>
      <x:c r="V48" s="138"/>
      <x:c r="W48" s="138"/>
      <x:c r="X48" s="138"/>
      <x:c r="Y48" s="138"/>
      <x:c r="Z48" s="138"/>
    </x:row>
    <x:row r="49">
      <x:c r="A49" s="138"/>
      <x:c r="B49" s="138"/>
      <x:c r="C49" s="138"/>
      <x:c r="D49" s="138"/>
      <x:c r="E49" s="138"/>
      <x:c r="F49" s="138"/>
      <x:c r="G49" s="138"/>
      <x:c r="H49" s="138"/>
      <x:c r="I49" s="138"/>
      <x:c r="J49" s="138"/>
      <x:c r="K49" s="138"/>
      <x:c r="L49" s="138"/>
      <x:c r="M49" s="138"/>
      <x:c r="N49" s="138"/>
      <x:c r="O49" s="138"/>
      <x:c r="P49" s="138"/>
      <x:c r="Q49" s="138"/>
      <x:c r="R49" s="138"/>
      <x:c r="S49" s="138"/>
      <x:c r="T49" s="138"/>
      <x:c r="U49" s="138"/>
      <x:c r="V49" s="138"/>
      <x:c r="W49" s="138"/>
      <x:c r="X49" s="138"/>
      <x:c r="Y49" s="138"/>
      <x:c r="Z49" s="138"/>
    </x:row>
    <x:row r="50">
      <x:c r="A50" s="138"/>
      <x:c r="B50" s="138"/>
      <x:c r="C50" s="138"/>
      <x:c r="D50" s="138"/>
      <x:c r="E50" s="138"/>
      <x:c r="F50" s="138"/>
      <x:c r="G50" s="138"/>
      <x:c r="H50" s="138"/>
      <x:c r="I50" s="138"/>
      <x:c r="J50" s="138"/>
      <x:c r="K50" s="138"/>
      <x:c r="L50" s="138"/>
      <x:c r="M50" s="138"/>
      <x:c r="N50" s="138"/>
      <x:c r="O50" s="138"/>
      <x:c r="P50" s="138"/>
      <x:c r="Q50" s="138"/>
      <x:c r="R50" s="138"/>
      <x:c r="S50" s="138"/>
      <x:c r="T50" s="138"/>
      <x:c r="U50" s="138"/>
      <x:c r="V50" s="138"/>
      <x:c r="W50" s="138"/>
      <x:c r="X50" s="138"/>
      <x:c r="Y50" s="138"/>
      <x:c r="Z50" s="138"/>
    </x:row>
    <x:row r="51">
      <x:c r="A51" s="138"/>
      <x:c r="B51" s="138"/>
      <x:c r="C51" s="138"/>
      <x:c r="D51" s="138"/>
      <x:c r="E51" s="138"/>
      <x:c r="F51" s="138"/>
      <x:c r="G51" s="138"/>
      <x:c r="H51" s="138"/>
      <x:c r="I51" s="138"/>
      <x:c r="J51" s="138"/>
      <x:c r="K51" s="138"/>
      <x:c r="L51" s="138"/>
      <x:c r="M51" s="138"/>
      <x:c r="N51" s="138"/>
      <x:c r="O51" s="138"/>
      <x:c r="P51" s="138"/>
      <x:c r="Q51" s="138"/>
      <x:c r="R51" s="138"/>
      <x:c r="S51" s="138"/>
      <x:c r="T51" s="138"/>
      <x:c r="U51" s="138"/>
      <x:c r="V51" s="138"/>
      <x:c r="W51" s="138"/>
      <x:c r="X51" s="138"/>
      <x:c r="Y51" s="138"/>
      <x:c r="Z51" s="138"/>
    </x:row>
    <x:row r="52">
      <x:c r="A52" s="138"/>
      <x:c r="B52" s="138"/>
      <x:c r="C52" s="138"/>
      <x:c r="D52" s="138"/>
      <x:c r="E52" s="138"/>
      <x:c r="F52" s="138"/>
      <x:c r="G52" s="138"/>
      <x:c r="H52" s="138"/>
      <x:c r="I52" s="138"/>
      <x:c r="J52" s="138"/>
      <x:c r="K52" s="138"/>
      <x:c r="L52" s="138"/>
      <x:c r="M52" s="138"/>
      <x:c r="N52" s="138"/>
      <x:c r="O52" s="138"/>
      <x:c r="P52" s="138"/>
      <x:c r="Q52" s="138"/>
      <x:c r="R52" s="138"/>
      <x:c r="S52" s="138"/>
      <x:c r="T52" s="138"/>
      <x:c r="U52" s="138"/>
      <x:c r="V52" s="138"/>
      <x:c r="W52" s="138"/>
      <x:c r="X52" s="138"/>
      <x:c r="Y52" s="138"/>
      <x:c r="Z52" s="138"/>
    </x:row>
    <x:row r="53">
      <x:c r="A53" s="138"/>
      <x:c r="B53" s="138"/>
      <x:c r="C53" s="138"/>
      <x:c r="D53" s="138"/>
      <x:c r="E53" s="138"/>
      <x:c r="F53" s="138"/>
      <x:c r="G53" s="138"/>
      <x:c r="H53" s="138"/>
      <x:c r="I53" s="138"/>
      <x:c r="J53" s="138"/>
      <x:c r="K53" s="138"/>
      <x:c r="L53" s="138"/>
      <x:c r="M53" s="138"/>
      <x:c r="N53" s="138"/>
      <x:c r="O53" s="138"/>
      <x:c r="P53" s="138"/>
      <x:c r="Q53" s="138"/>
      <x:c r="R53" s="138"/>
      <x:c r="S53" s="138"/>
      <x:c r="T53" s="138"/>
      <x:c r="U53" s="138"/>
      <x:c r="V53" s="138"/>
      <x:c r="W53" s="138"/>
      <x:c r="X53" s="138"/>
      <x:c r="Y53" s="138"/>
      <x:c r="Z53" s="138"/>
    </x:row>
    <x:row r="54">
      <x:c r="A54" s="138"/>
      <x:c r="B54" s="138"/>
      <x:c r="C54" s="138"/>
      <x:c r="D54" s="138"/>
      <x:c r="E54" s="138"/>
      <x:c r="F54" s="138"/>
      <x:c r="G54" s="138"/>
      <x:c r="H54" s="138"/>
      <x:c r="I54" s="138"/>
      <x:c r="J54" s="138"/>
      <x:c r="K54" s="138"/>
      <x:c r="L54" s="138"/>
      <x:c r="M54" s="138"/>
      <x:c r="N54" s="138"/>
      <x:c r="O54" s="138"/>
      <x:c r="P54" s="138"/>
      <x:c r="Q54" s="138"/>
      <x:c r="R54" s="138"/>
      <x:c r="S54" s="138"/>
      <x:c r="T54" s="138"/>
      <x:c r="U54" s="138"/>
      <x:c r="V54" s="138"/>
      <x:c r="W54" s="138"/>
      <x:c r="X54" s="138"/>
      <x:c r="Y54" s="138"/>
      <x:c r="Z54" s="138"/>
    </x:row>
    <x:row r="55">
      <x:c r="A55" s="138"/>
      <x:c r="B55" s="138"/>
      <x:c r="C55" s="138"/>
      <x:c r="D55" s="138"/>
      <x:c r="E55" s="138"/>
      <x:c r="F55" s="138"/>
      <x:c r="G55" s="138"/>
      <x:c r="H55" s="138"/>
      <x:c r="I55" s="138"/>
      <x:c r="J55" s="138"/>
      <x:c r="K55" s="138"/>
      <x:c r="L55" s="138"/>
      <x:c r="M55" s="138"/>
      <x:c r="N55" s="138"/>
      <x:c r="O55" s="138"/>
      <x:c r="P55" s="138"/>
      <x:c r="Q55" s="138"/>
      <x:c r="R55" s="138"/>
      <x:c r="S55" s="138"/>
      <x:c r="T55" s="138"/>
      <x:c r="U55" s="138"/>
      <x:c r="V55" s="138"/>
      <x:c r="W55" s="138"/>
      <x:c r="X55" s="138"/>
      <x:c r="Y55" s="138"/>
      <x:c r="Z55" s="138"/>
    </x:row>
    <x:row r="56">
      <x:c r="A56" s="138"/>
      <x:c r="B56" s="138"/>
      <x:c r="C56" s="138"/>
      <x:c r="D56" s="138"/>
      <x:c r="E56" s="138"/>
      <x:c r="F56" s="138"/>
      <x:c r="G56" s="138"/>
      <x:c r="H56" s="138"/>
      <x:c r="I56" s="138"/>
      <x:c r="J56" s="138"/>
      <x:c r="K56" s="138"/>
      <x:c r="L56" s="138"/>
      <x:c r="M56" s="138"/>
      <x:c r="N56" s="138"/>
      <x:c r="O56" s="138"/>
      <x:c r="P56" s="138"/>
      <x:c r="Q56" s="138"/>
      <x:c r="R56" s="138"/>
      <x:c r="S56" s="138"/>
      <x:c r="T56" s="138"/>
      <x:c r="U56" s="138"/>
      <x:c r="V56" s="138"/>
      <x:c r="W56" s="138"/>
      <x:c r="X56" s="138"/>
      <x:c r="Y56" s="138"/>
      <x:c r="Z56" s="138"/>
    </x:row>
    <x:row r="57">
      <x:c r="A57" s="138"/>
      <x:c r="B57" s="138"/>
      <x:c r="C57" s="138"/>
      <x:c r="D57" s="138"/>
      <x:c r="E57" s="138"/>
      <x:c r="F57" s="138"/>
      <x:c r="G57" s="138"/>
      <x:c r="H57" s="138"/>
      <x:c r="I57" s="138"/>
      <x:c r="J57" s="138"/>
      <x:c r="K57" s="138"/>
      <x:c r="L57" s="138"/>
      <x:c r="M57" s="138"/>
      <x:c r="N57" s="138"/>
      <x:c r="O57" s="138"/>
      <x:c r="P57" s="138"/>
      <x:c r="Q57" s="138"/>
      <x:c r="R57" s="138"/>
      <x:c r="S57" s="138"/>
      <x:c r="T57" s="138"/>
      <x:c r="U57" s="138"/>
      <x:c r="V57" s="138"/>
      <x:c r="W57" s="138"/>
      <x:c r="X57" s="138"/>
      <x:c r="Y57" s="138"/>
      <x:c r="Z57" s="138"/>
    </x:row>
    <x:row r="58">
      <x:c r="A58" s="138"/>
      <x:c r="B58" s="138"/>
      <x:c r="C58" s="138"/>
      <x:c r="D58" s="138"/>
      <x:c r="E58" s="138"/>
      <x:c r="F58" s="138"/>
      <x:c r="G58" s="138"/>
      <x:c r="H58" s="138"/>
      <x:c r="I58" s="138"/>
      <x:c r="J58" s="138"/>
      <x:c r="K58" s="138"/>
      <x:c r="L58" s="138"/>
      <x:c r="M58" s="138"/>
      <x:c r="N58" s="138"/>
      <x:c r="O58" s="138"/>
      <x:c r="P58" s="138"/>
      <x:c r="Q58" s="138"/>
      <x:c r="R58" s="138"/>
      <x:c r="S58" s="138"/>
      <x:c r="T58" s="138"/>
      <x:c r="U58" s="138"/>
      <x:c r="V58" s="138"/>
      <x:c r="W58" s="138"/>
      <x:c r="X58" s="138"/>
      <x:c r="Y58" s="138"/>
      <x:c r="Z58" s="138"/>
    </x:row>
    <x:row r="59">
      <x:c r="A59" s="138"/>
      <x:c r="B59" s="138"/>
      <x:c r="C59" s="138"/>
      <x:c r="D59" s="138"/>
      <x:c r="E59" s="138"/>
      <x:c r="F59" s="138"/>
      <x:c r="G59" s="138"/>
      <x:c r="H59" s="138"/>
      <x:c r="I59" s="138"/>
      <x:c r="J59" s="138"/>
      <x:c r="K59" s="138"/>
      <x:c r="L59" s="138"/>
      <x:c r="M59" s="138"/>
      <x:c r="N59" s="138"/>
      <x:c r="O59" s="138"/>
      <x:c r="P59" s="138"/>
      <x:c r="Q59" s="138"/>
      <x:c r="R59" s="138"/>
      <x:c r="S59" s="138"/>
      <x:c r="T59" s="138"/>
      <x:c r="U59" s="138"/>
      <x:c r="V59" s="138"/>
      <x:c r="W59" s="138"/>
      <x:c r="X59" s="138"/>
      <x:c r="Y59" s="138"/>
      <x:c r="Z59" s="138"/>
    </x:row>
    <x:row r="60">
      <x:c r="A60" s="138"/>
      <x:c r="B60" s="138"/>
      <x:c r="C60" s="138"/>
      <x:c r="D60" s="138"/>
      <x:c r="E60" s="138"/>
      <x:c r="F60" s="138"/>
      <x:c r="G60" s="138"/>
      <x:c r="H60" s="138"/>
      <x:c r="I60" s="138"/>
      <x:c r="J60" s="138"/>
      <x:c r="K60" s="138"/>
      <x:c r="L60" s="138"/>
      <x:c r="M60" s="138"/>
      <x:c r="N60" s="138"/>
      <x:c r="O60" s="138"/>
      <x:c r="P60" s="138"/>
      <x:c r="Q60" s="138"/>
      <x:c r="R60" s="138"/>
      <x:c r="S60" s="138"/>
      <x:c r="T60" s="138"/>
      <x:c r="U60" s="138"/>
      <x:c r="V60" s="138"/>
      <x:c r="W60" s="138"/>
      <x:c r="X60" s="138"/>
      <x:c r="Y60" s="138"/>
      <x:c r="Z60" s="138"/>
    </x:row>
    <x:row r="61">
      <x:c r="A61" s="138"/>
      <x:c r="B61" s="138"/>
      <x:c r="C61" s="138"/>
      <x:c r="D61" s="138"/>
      <x:c r="E61" s="138"/>
      <x:c r="F61" s="138"/>
      <x:c r="G61" s="138"/>
      <x:c r="H61" s="138"/>
      <x:c r="I61" s="138"/>
      <x:c r="J61" s="138"/>
      <x:c r="K61" s="138"/>
      <x:c r="L61" s="138"/>
      <x:c r="M61" s="138"/>
      <x:c r="N61" s="138"/>
      <x:c r="O61" s="138"/>
      <x:c r="P61" s="138"/>
      <x:c r="Q61" s="138"/>
      <x:c r="R61" s="138"/>
      <x:c r="S61" s="138"/>
      <x:c r="T61" s="138"/>
      <x:c r="U61" s="138"/>
      <x:c r="V61" s="138"/>
      <x:c r="W61" s="138"/>
      <x:c r="X61" s="138"/>
      <x:c r="Y61" s="138"/>
      <x:c r="Z61" s="138"/>
    </x:row>
    <x:row r="62">
      <x:c r="A62" s="138"/>
      <x:c r="B62" s="138"/>
      <x:c r="C62" s="138"/>
      <x:c r="D62" s="138"/>
      <x:c r="E62" s="138"/>
      <x:c r="F62" s="138"/>
      <x:c r="G62" s="138"/>
      <x:c r="H62" s="138"/>
      <x:c r="I62" s="138"/>
      <x:c r="J62" s="138"/>
      <x:c r="K62" s="138"/>
      <x:c r="L62" s="138"/>
      <x:c r="M62" s="138"/>
      <x:c r="N62" s="138"/>
      <x:c r="O62" s="138"/>
      <x:c r="P62" s="138"/>
      <x:c r="Q62" s="138"/>
      <x:c r="R62" s="138"/>
      <x:c r="S62" s="138"/>
      <x:c r="T62" s="138"/>
      <x:c r="U62" s="138"/>
      <x:c r="V62" s="138"/>
      <x:c r="W62" s="138"/>
      <x:c r="X62" s="138"/>
      <x:c r="Y62" s="138"/>
      <x:c r="Z62" s="138"/>
    </x:row>
    <x:row r="63">
      <x:c r="A63" s="138"/>
      <x:c r="B63" s="138"/>
      <x:c r="C63" s="138"/>
      <x:c r="D63" s="138"/>
      <x:c r="E63" s="138"/>
      <x:c r="F63" s="138"/>
      <x:c r="G63" s="138"/>
      <x:c r="H63" s="138"/>
      <x:c r="I63" s="138"/>
      <x:c r="J63" s="138"/>
      <x:c r="K63" s="138"/>
      <x:c r="L63" s="138"/>
      <x:c r="M63" s="138"/>
      <x:c r="N63" s="138"/>
      <x:c r="O63" s="138"/>
      <x:c r="P63" s="138"/>
      <x:c r="Q63" s="138"/>
      <x:c r="R63" s="138"/>
      <x:c r="S63" s="138"/>
      <x:c r="T63" s="138"/>
      <x:c r="U63" s="138"/>
      <x:c r="V63" s="138"/>
      <x:c r="W63" s="138"/>
      <x:c r="X63" s="138"/>
      <x:c r="Y63" s="138"/>
      <x:c r="Z63" s="138"/>
    </x:row>
    <x:row r="64">
      <x:c r="A64" s="138"/>
      <x:c r="B64" s="138"/>
      <x:c r="C64" s="138"/>
      <x:c r="D64" s="138"/>
      <x:c r="E64" s="138"/>
      <x:c r="F64" s="138"/>
      <x:c r="G64" s="138"/>
      <x:c r="H64" s="138"/>
      <x:c r="I64" s="138"/>
      <x:c r="J64" s="138"/>
      <x:c r="K64" s="138"/>
      <x:c r="L64" s="138"/>
      <x:c r="M64" s="138"/>
      <x:c r="N64" s="138"/>
      <x:c r="O64" s="138"/>
      <x:c r="P64" s="138"/>
      <x:c r="Q64" s="138"/>
      <x:c r="R64" s="138"/>
      <x:c r="S64" s="138"/>
      <x:c r="T64" s="138"/>
      <x:c r="U64" s="138"/>
      <x:c r="V64" s="138"/>
      <x:c r="W64" s="138"/>
      <x:c r="X64" s="138"/>
      <x:c r="Y64" s="138"/>
      <x:c r="Z64" s="138"/>
    </x:row>
    <x:row r="65">
      <x:c r="A65" s="138"/>
      <x:c r="B65" s="138"/>
      <x:c r="C65" s="138"/>
      <x:c r="D65" s="138"/>
      <x:c r="E65" s="138"/>
      <x:c r="F65" s="138"/>
      <x:c r="G65" s="138"/>
      <x:c r="H65" s="138"/>
      <x:c r="I65" s="138"/>
      <x:c r="J65" s="138"/>
      <x:c r="K65" s="138"/>
      <x:c r="L65" s="138"/>
      <x:c r="M65" s="138"/>
      <x:c r="N65" s="138"/>
      <x:c r="O65" s="138"/>
      <x:c r="P65" s="138"/>
      <x:c r="Q65" s="138"/>
      <x:c r="R65" s="138"/>
      <x:c r="S65" s="138"/>
      <x:c r="T65" s="138"/>
      <x:c r="U65" s="138"/>
      <x:c r="V65" s="138"/>
      <x:c r="W65" s="138"/>
      <x:c r="X65" s="138"/>
      <x:c r="Y65" s="138"/>
      <x:c r="Z65" s="138"/>
    </x:row>
    <x:row r="66">
      <x:c r="A66" s="138"/>
      <x:c r="B66" s="138"/>
      <x:c r="C66" s="138"/>
      <x:c r="D66" s="138"/>
      <x:c r="E66" s="138"/>
      <x:c r="F66" s="138"/>
      <x:c r="G66" s="138"/>
      <x:c r="H66" s="138"/>
      <x:c r="I66" s="138"/>
      <x:c r="J66" s="138"/>
      <x:c r="K66" s="138"/>
      <x:c r="L66" s="138"/>
      <x:c r="M66" s="138"/>
      <x:c r="N66" s="138"/>
      <x:c r="O66" s="138"/>
      <x:c r="P66" s="138"/>
      <x:c r="Q66" s="138"/>
      <x:c r="R66" s="138"/>
      <x:c r="S66" s="138"/>
      <x:c r="T66" s="138"/>
      <x:c r="U66" s="138"/>
      <x:c r="V66" s="138"/>
      <x:c r="W66" s="138"/>
      <x:c r="X66" s="138"/>
      <x:c r="Y66" s="138"/>
      <x:c r="Z66" s="138"/>
    </x:row>
    <x:row r="67">
      <x:c r="A67" s="138"/>
      <x:c r="B67" s="138"/>
      <x:c r="C67" s="138"/>
      <x:c r="D67" s="138"/>
      <x:c r="E67" s="138"/>
      <x:c r="F67" s="138"/>
      <x:c r="G67" s="138"/>
      <x:c r="H67" s="138"/>
      <x:c r="I67" s="138"/>
      <x:c r="J67" s="138"/>
      <x:c r="K67" s="138"/>
      <x:c r="L67" s="138"/>
      <x:c r="M67" s="138"/>
      <x:c r="N67" s="138"/>
      <x:c r="O67" s="138"/>
      <x:c r="P67" s="138"/>
      <x:c r="Q67" s="138"/>
      <x:c r="R67" s="138"/>
      <x:c r="S67" s="138"/>
      <x:c r="T67" s="138"/>
      <x:c r="U67" s="138"/>
      <x:c r="V67" s="138"/>
      <x:c r="W67" s="138"/>
      <x:c r="X67" s="138"/>
      <x:c r="Y67" s="138"/>
      <x:c r="Z67" s="138"/>
    </x:row>
    <x:row r="68">
      <x:c r="A68" s="138"/>
      <x:c r="B68" s="138"/>
      <x:c r="C68" s="138"/>
      <x:c r="D68" s="138"/>
      <x:c r="E68" s="138"/>
      <x:c r="F68" s="138"/>
      <x:c r="G68" s="138"/>
      <x:c r="H68" s="138"/>
      <x:c r="I68" s="138"/>
      <x:c r="J68" s="138"/>
      <x:c r="K68" s="138"/>
      <x:c r="L68" s="138"/>
      <x:c r="M68" s="138"/>
      <x:c r="N68" s="138"/>
      <x:c r="O68" s="138"/>
      <x:c r="P68" s="138"/>
      <x:c r="Q68" s="138"/>
      <x:c r="R68" s="138"/>
      <x:c r="S68" s="138"/>
      <x:c r="T68" s="138"/>
      <x:c r="U68" s="138"/>
      <x:c r="V68" s="138"/>
      <x:c r="W68" s="138"/>
      <x:c r="X68" s="138"/>
      <x:c r="Y68" s="138"/>
      <x:c r="Z68" s="138"/>
    </x:row>
    <x:row r="69">
      <x:c r="A69" s="138"/>
      <x:c r="B69" s="138"/>
      <x:c r="C69" s="138"/>
      <x:c r="D69" s="138"/>
      <x:c r="E69" s="138"/>
      <x:c r="F69" s="138"/>
      <x:c r="G69" s="138"/>
      <x:c r="H69" s="138"/>
      <x:c r="I69" s="138"/>
      <x:c r="J69" s="138"/>
      <x:c r="K69" s="138"/>
      <x:c r="L69" s="138"/>
      <x:c r="M69" s="138"/>
      <x:c r="N69" s="138"/>
      <x:c r="O69" s="138"/>
      <x:c r="P69" s="138"/>
      <x:c r="Q69" s="138"/>
      <x:c r="R69" s="138"/>
      <x:c r="S69" s="138"/>
      <x:c r="T69" s="138"/>
      <x:c r="U69" s="138"/>
      <x:c r="V69" s="138"/>
      <x:c r="W69" s="138"/>
      <x:c r="X69" s="138"/>
      <x:c r="Y69" s="138"/>
      <x:c r="Z69" s="138"/>
    </x:row>
    <x:row r="70">
      <x:c r="A70" s="138"/>
      <x:c r="B70" s="138"/>
      <x:c r="C70" s="138"/>
      <x:c r="D70" s="138"/>
      <x:c r="E70" s="138"/>
      <x:c r="F70" s="138"/>
      <x:c r="G70" s="138"/>
      <x:c r="H70" s="138"/>
      <x:c r="I70" s="138"/>
      <x:c r="J70" s="138"/>
      <x:c r="K70" s="138"/>
      <x:c r="L70" s="138"/>
      <x:c r="M70" s="138"/>
      <x:c r="N70" s="138"/>
      <x:c r="O70" s="138"/>
      <x:c r="P70" s="138"/>
      <x:c r="Q70" s="138"/>
      <x:c r="R70" s="138"/>
      <x:c r="S70" s="138"/>
      <x:c r="T70" s="138"/>
      <x:c r="U70" s="138"/>
      <x:c r="V70" s="138"/>
      <x:c r="W70" s="138"/>
      <x:c r="X70" s="138"/>
      <x:c r="Y70" s="138"/>
      <x:c r="Z70" s="138"/>
    </x:row>
    <x:row r="71">
      <x:c r="A71" s="138"/>
      <x:c r="B71" s="138"/>
      <x:c r="C71" s="138"/>
      <x:c r="D71" s="138"/>
      <x:c r="E71" s="138"/>
      <x:c r="F71" s="138"/>
      <x:c r="G71" s="138"/>
      <x:c r="H71" s="138"/>
      <x:c r="I71" s="138"/>
      <x:c r="J71" s="138"/>
      <x:c r="K71" s="138"/>
      <x:c r="L71" s="138"/>
      <x:c r="M71" s="138"/>
      <x:c r="N71" s="138"/>
      <x:c r="O71" s="138"/>
      <x:c r="P71" s="138"/>
      <x:c r="Q71" s="138"/>
      <x:c r="R71" s="138"/>
      <x:c r="S71" s="138"/>
      <x:c r="T71" s="138"/>
      <x:c r="U71" s="138"/>
      <x:c r="V71" s="138"/>
      <x:c r="W71" s="138"/>
      <x:c r="X71" s="138"/>
      <x:c r="Y71" s="138"/>
      <x:c r="Z71" s="138"/>
    </x:row>
    <x:row r="72">
      <x:c r="A72" s="138"/>
      <x:c r="B72" s="138"/>
      <x:c r="C72" s="138"/>
      <x:c r="D72" s="138"/>
      <x:c r="E72" s="138"/>
      <x:c r="F72" s="138"/>
      <x:c r="G72" s="138"/>
      <x:c r="H72" s="138"/>
      <x:c r="I72" s="138"/>
      <x:c r="J72" s="138"/>
      <x:c r="K72" s="138"/>
      <x:c r="L72" s="138"/>
      <x:c r="M72" s="138"/>
      <x:c r="N72" s="138"/>
      <x:c r="O72" s="138"/>
      <x:c r="P72" s="138"/>
      <x:c r="Q72" s="138"/>
      <x:c r="R72" s="138"/>
      <x:c r="S72" s="138"/>
      <x:c r="T72" s="138"/>
      <x:c r="U72" s="138"/>
      <x:c r="V72" s="138"/>
      <x:c r="W72" s="138"/>
      <x:c r="X72" s="138"/>
      <x:c r="Y72" s="138"/>
      <x:c r="Z72" s="138"/>
    </x:row>
    <x:row r="73">
      <x:c r="A73" s="138"/>
      <x:c r="B73" s="138"/>
      <x:c r="C73" s="138"/>
      <x:c r="D73" s="138"/>
      <x:c r="E73" s="138"/>
      <x:c r="F73" s="138"/>
      <x:c r="G73" s="138"/>
      <x:c r="H73" s="138"/>
      <x:c r="I73" s="138"/>
      <x:c r="J73" s="138"/>
      <x:c r="K73" s="138"/>
      <x:c r="L73" s="138"/>
      <x:c r="M73" s="138"/>
      <x:c r="N73" s="138"/>
      <x:c r="O73" s="138"/>
      <x:c r="P73" s="138"/>
      <x:c r="Q73" s="138"/>
      <x:c r="R73" s="138"/>
      <x:c r="S73" s="138"/>
      <x:c r="T73" s="138"/>
      <x:c r="U73" s="138"/>
      <x:c r="V73" s="138"/>
      <x:c r="W73" s="138"/>
      <x:c r="X73" s="138"/>
      <x:c r="Y73" s="138"/>
      <x:c r="Z73" s="138"/>
    </x:row>
    <x:row r="74">
      <x:c r="A74" s="138"/>
      <x:c r="B74" s="138"/>
      <x:c r="C74" s="138"/>
      <x:c r="D74" s="138"/>
      <x:c r="E74" s="138"/>
      <x:c r="F74" s="138"/>
      <x:c r="G74" s="138"/>
      <x:c r="H74" s="138"/>
      <x:c r="I74" s="138"/>
      <x:c r="J74" s="138"/>
      <x:c r="K74" s="138"/>
      <x:c r="L74" s="138"/>
      <x:c r="M74" s="138"/>
      <x:c r="N74" s="138"/>
      <x:c r="O74" s="138"/>
      <x:c r="P74" s="138"/>
      <x:c r="Q74" s="138"/>
      <x:c r="R74" s="138"/>
      <x:c r="S74" s="138"/>
      <x:c r="T74" s="138"/>
      <x:c r="U74" s="138"/>
      <x:c r="V74" s="138"/>
      <x:c r="W74" s="138"/>
      <x:c r="X74" s="138"/>
      <x:c r="Y74" s="138"/>
      <x:c r="Z74" s="138"/>
    </x:row>
    <x:row r="75">
      <x:c r="A75" s="138"/>
      <x:c r="B75" s="138"/>
      <x:c r="C75" s="138"/>
      <x:c r="D75" s="138"/>
      <x:c r="E75" s="138"/>
      <x:c r="F75" s="138"/>
      <x:c r="G75" s="138"/>
      <x:c r="H75" s="138"/>
      <x:c r="I75" s="138"/>
      <x:c r="J75" s="138"/>
      <x:c r="K75" s="138"/>
      <x:c r="L75" s="138"/>
      <x:c r="M75" s="138"/>
      <x:c r="N75" s="138"/>
      <x:c r="O75" s="138"/>
      <x:c r="P75" s="138"/>
      <x:c r="Q75" s="138"/>
      <x:c r="R75" s="138"/>
      <x:c r="S75" s="138"/>
      <x:c r="T75" s="138"/>
      <x:c r="U75" s="138"/>
      <x:c r="V75" s="138"/>
      <x:c r="W75" s="138"/>
      <x:c r="X75" s="138"/>
      <x:c r="Y75" s="138"/>
      <x:c r="Z75" s="138"/>
    </x:row>
    <x:row r="76">
      <x:c r="A76" s="138"/>
      <x:c r="B76" s="138"/>
      <x:c r="C76" s="138"/>
      <x:c r="D76" s="138"/>
      <x:c r="E76" s="138"/>
      <x:c r="F76" s="138"/>
      <x:c r="G76" s="138"/>
      <x:c r="H76" s="138"/>
      <x:c r="I76" s="138"/>
      <x:c r="J76" s="138"/>
      <x:c r="K76" s="138"/>
      <x:c r="L76" s="138"/>
      <x:c r="M76" s="138"/>
      <x:c r="N76" s="138"/>
      <x:c r="O76" s="138"/>
      <x:c r="P76" s="138"/>
      <x:c r="Q76" s="138"/>
      <x:c r="R76" s="138"/>
      <x:c r="S76" s="138"/>
      <x:c r="T76" s="138"/>
      <x:c r="U76" s="138"/>
      <x:c r="V76" s="138"/>
      <x:c r="W76" s="138"/>
      <x:c r="X76" s="138"/>
      <x:c r="Y76" s="138"/>
      <x:c r="Z76" s="138"/>
    </x:row>
    <x:row r="77">
      <x:c r="A77" s="138"/>
      <x:c r="B77" s="138"/>
      <x:c r="C77" s="138"/>
      <x:c r="D77" s="138"/>
      <x:c r="E77" s="138"/>
      <x:c r="F77" s="138"/>
      <x:c r="G77" s="138"/>
      <x:c r="H77" s="138"/>
      <x:c r="I77" s="138"/>
      <x:c r="J77" s="138"/>
      <x:c r="K77" s="138"/>
      <x:c r="L77" s="138"/>
      <x:c r="M77" s="138"/>
      <x:c r="N77" s="138"/>
      <x:c r="O77" s="138"/>
      <x:c r="P77" s="138"/>
      <x:c r="Q77" s="138"/>
      <x:c r="R77" s="138"/>
      <x:c r="S77" s="138"/>
      <x:c r="T77" s="138"/>
      <x:c r="U77" s="138"/>
      <x:c r="V77" s="138"/>
      <x:c r="W77" s="138"/>
      <x:c r="X77" s="138"/>
      <x:c r="Y77" s="138"/>
      <x:c r="Z77" s="138"/>
    </x:row>
    <x:row r="78">
      <x:c r="A78" s="138"/>
      <x:c r="B78" s="138"/>
      <x:c r="C78" s="138"/>
      <x:c r="D78" s="138"/>
      <x:c r="E78" s="138"/>
      <x:c r="F78" s="138"/>
      <x:c r="G78" s="138"/>
      <x:c r="H78" s="138"/>
      <x:c r="I78" s="138"/>
      <x:c r="J78" s="138"/>
      <x:c r="K78" s="138"/>
      <x:c r="L78" s="138"/>
      <x:c r="M78" s="138"/>
      <x:c r="N78" s="138"/>
      <x:c r="O78" s="138"/>
      <x:c r="P78" s="138"/>
      <x:c r="Q78" s="138"/>
      <x:c r="R78" s="138"/>
      <x:c r="S78" s="138"/>
      <x:c r="T78" s="138"/>
      <x:c r="U78" s="138"/>
      <x:c r="V78" s="138"/>
      <x:c r="W78" s="138"/>
      <x:c r="X78" s="138"/>
      <x:c r="Y78" s="138"/>
      <x:c r="Z78" s="138"/>
    </x:row>
    <x:row r="79">
      <x:c r="A79" s="138"/>
      <x:c r="B79" s="138"/>
      <x:c r="C79" s="138"/>
      <x:c r="D79" s="138"/>
      <x:c r="E79" s="138"/>
      <x:c r="F79" s="138"/>
      <x:c r="G79" s="138"/>
      <x:c r="H79" s="138"/>
      <x:c r="I79" s="138"/>
      <x:c r="J79" s="138"/>
      <x:c r="K79" s="138"/>
      <x:c r="L79" s="138"/>
      <x:c r="M79" s="138"/>
      <x:c r="N79" s="138"/>
      <x:c r="O79" s="138"/>
      <x:c r="P79" s="138"/>
      <x:c r="Q79" s="138"/>
      <x:c r="R79" s="138"/>
      <x:c r="S79" s="138"/>
      <x:c r="T79" s="138"/>
      <x:c r="U79" s="138"/>
      <x:c r="V79" s="138"/>
      <x:c r="W79" s="138"/>
      <x:c r="X79" s="138"/>
      <x:c r="Y79" s="138"/>
      <x:c r="Z79" s="138"/>
    </x:row>
    <x:row r="80">
      <x:c r="A80" s="138"/>
      <x:c r="B80" s="138"/>
      <x:c r="C80" s="138"/>
      <x:c r="D80" s="138"/>
      <x:c r="E80" s="138"/>
      <x:c r="F80" s="138"/>
      <x:c r="G80" s="138"/>
      <x:c r="H80" s="138"/>
      <x:c r="I80" s="138"/>
      <x:c r="J80" s="138"/>
      <x:c r="K80" s="138"/>
      <x:c r="L80" s="138"/>
      <x:c r="M80" s="138"/>
      <x:c r="N80" s="138"/>
      <x:c r="O80" s="138"/>
      <x:c r="P80" s="138"/>
      <x:c r="Q80" s="138"/>
      <x:c r="R80" s="138"/>
      <x:c r="S80" s="138"/>
      <x:c r="T80" s="138"/>
      <x:c r="U80" s="138"/>
      <x:c r="V80" s="138"/>
      <x:c r="W80" s="138"/>
      <x:c r="X80" s="138"/>
      <x:c r="Y80" s="138"/>
      <x:c r="Z80" s="138"/>
    </x:row>
    <x:row r="81">
      <x:c r="A81" s="138"/>
      <x:c r="B81" s="138"/>
      <x:c r="C81" s="138"/>
      <x:c r="D81" s="138"/>
      <x:c r="E81" s="138"/>
      <x:c r="F81" s="138"/>
      <x:c r="G81" s="138"/>
      <x:c r="H81" s="138"/>
      <x:c r="I81" s="138"/>
      <x:c r="J81" s="138"/>
      <x:c r="K81" s="138"/>
      <x:c r="L81" s="138"/>
      <x:c r="M81" s="138"/>
      <x:c r="N81" s="138"/>
      <x:c r="O81" s="138"/>
      <x:c r="P81" s="138"/>
      <x:c r="Q81" s="138"/>
      <x:c r="R81" s="138"/>
      <x:c r="S81" s="138"/>
      <x:c r="T81" s="138"/>
      <x:c r="U81" s="138"/>
      <x:c r="V81" s="138"/>
      <x:c r="W81" s="138"/>
      <x:c r="X81" s="138"/>
      <x:c r="Y81" s="138"/>
      <x:c r="Z81" s="138"/>
    </x:row>
    <x:row r="82">
      <x:c r="A82" s="138"/>
      <x:c r="B82" s="138"/>
      <x:c r="C82" s="138"/>
      <x:c r="D82" s="138"/>
      <x:c r="E82" s="138"/>
      <x:c r="F82" s="138"/>
      <x:c r="G82" s="138"/>
      <x:c r="H82" s="138"/>
      <x:c r="I82" s="138"/>
      <x:c r="J82" s="138"/>
      <x:c r="K82" s="138"/>
      <x:c r="L82" s="138"/>
      <x:c r="M82" s="138"/>
      <x:c r="N82" s="138"/>
      <x:c r="O82" s="138"/>
      <x:c r="P82" s="138"/>
      <x:c r="Q82" s="138"/>
      <x:c r="R82" s="138"/>
      <x:c r="S82" s="138"/>
      <x:c r="T82" s="138"/>
      <x:c r="U82" s="138"/>
      <x:c r="V82" s="138"/>
      <x:c r="W82" s="138"/>
      <x:c r="X82" s="138"/>
      <x:c r="Y82" s="138"/>
      <x:c r="Z82" s="138"/>
    </x:row>
    <x:row r="83">
      <x:c r="A83" s="138"/>
      <x:c r="B83" s="138"/>
      <x:c r="C83" s="138"/>
      <x:c r="D83" s="138"/>
      <x:c r="E83" s="138"/>
      <x:c r="F83" s="138"/>
      <x:c r="G83" s="138"/>
      <x:c r="H83" s="138"/>
      <x:c r="I83" s="138"/>
      <x:c r="J83" s="138"/>
      <x:c r="K83" s="138"/>
      <x:c r="L83" s="138"/>
      <x:c r="M83" s="138"/>
      <x:c r="N83" s="138"/>
      <x:c r="O83" s="138"/>
      <x:c r="P83" s="138"/>
      <x:c r="Q83" s="138"/>
      <x:c r="R83" s="138"/>
      <x:c r="S83" s="138"/>
      <x:c r="T83" s="138"/>
      <x:c r="U83" s="138"/>
      <x:c r="V83" s="138"/>
      <x:c r="W83" s="138"/>
      <x:c r="X83" s="138"/>
      <x:c r="Y83" s="138"/>
      <x:c r="Z83" s="138"/>
    </x:row>
    <x:row r="84">
      <x:c r="A84" s="138"/>
      <x:c r="B84" s="138"/>
      <x:c r="C84" s="138"/>
      <x:c r="D84" s="138"/>
      <x:c r="E84" s="138"/>
      <x:c r="F84" s="138"/>
      <x:c r="G84" s="138"/>
      <x:c r="H84" s="138"/>
      <x:c r="I84" s="138"/>
      <x:c r="J84" s="138"/>
      <x:c r="K84" s="138"/>
      <x:c r="L84" s="138"/>
      <x:c r="M84" s="138"/>
      <x:c r="N84" s="138"/>
      <x:c r="O84" s="138"/>
      <x:c r="P84" s="138"/>
      <x:c r="Q84" s="138"/>
      <x:c r="R84" s="138"/>
      <x:c r="S84" s="138"/>
      <x:c r="T84" s="138"/>
      <x:c r="U84" s="138"/>
      <x:c r="V84" s="138"/>
      <x:c r="W84" s="138"/>
      <x:c r="X84" s="138"/>
      <x:c r="Y84" s="138"/>
      <x:c r="Z84" s="138"/>
    </x:row>
    <x:row r="85">
      <x:c r="A85" s="138"/>
      <x:c r="B85" s="138"/>
      <x:c r="C85" s="138"/>
      <x:c r="D85" s="138"/>
      <x:c r="E85" s="138"/>
      <x:c r="F85" s="138"/>
      <x:c r="G85" s="138"/>
      <x:c r="H85" s="138"/>
      <x:c r="I85" s="138"/>
      <x:c r="J85" s="138"/>
      <x:c r="K85" s="138"/>
      <x:c r="L85" s="138"/>
      <x:c r="M85" s="138"/>
      <x:c r="N85" s="138"/>
      <x:c r="O85" s="138"/>
      <x:c r="P85" s="138"/>
      <x:c r="Q85" s="138"/>
      <x:c r="R85" s="138"/>
      <x:c r="S85" s="138"/>
      <x:c r="T85" s="138"/>
      <x:c r="U85" s="138"/>
      <x:c r="V85" s="138"/>
      <x:c r="W85" s="138"/>
      <x:c r="X85" s="138"/>
      <x:c r="Y85" s="138"/>
      <x:c r="Z85" s="138"/>
    </x:row>
    <x:row r="86">
      <x:c r="A86" s="138"/>
      <x:c r="B86" s="138"/>
      <x:c r="C86" s="138"/>
      <x:c r="D86" s="138"/>
      <x:c r="E86" s="138"/>
      <x:c r="F86" s="138"/>
      <x:c r="G86" s="138"/>
      <x:c r="H86" s="138"/>
      <x:c r="I86" s="138"/>
      <x:c r="J86" s="138"/>
      <x:c r="K86" s="138"/>
      <x:c r="L86" s="138"/>
      <x:c r="M86" s="138"/>
      <x:c r="N86" s="138"/>
      <x:c r="O86" s="138"/>
      <x:c r="P86" s="138"/>
      <x:c r="Q86" s="138"/>
      <x:c r="R86" s="138"/>
      <x:c r="S86" s="138"/>
      <x:c r="T86" s="138"/>
      <x:c r="U86" s="138"/>
      <x:c r="V86" s="138"/>
      <x:c r="W86" s="138"/>
      <x:c r="X86" s="138"/>
      <x:c r="Y86" s="138"/>
      <x:c r="Z86" s="138"/>
    </x:row>
    <x:row r="87">
      <x:c r="A87" s="138"/>
      <x:c r="B87" s="138"/>
      <x:c r="C87" s="138"/>
      <x:c r="D87" s="138"/>
      <x:c r="E87" s="138"/>
      <x:c r="F87" s="138"/>
      <x:c r="G87" s="138"/>
      <x:c r="H87" s="138"/>
      <x:c r="I87" s="138"/>
      <x:c r="J87" s="138"/>
      <x:c r="K87" s="138"/>
      <x:c r="L87" s="138"/>
      <x:c r="M87" s="138"/>
      <x:c r="N87" s="138"/>
      <x:c r="O87" s="138"/>
      <x:c r="P87" s="138"/>
      <x:c r="Q87" s="138"/>
      <x:c r="R87" s="138"/>
      <x:c r="S87" s="138"/>
      <x:c r="T87" s="138"/>
      <x:c r="U87" s="138"/>
      <x:c r="V87" s="138"/>
      <x:c r="W87" s="138"/>
      <x:c r="X87" s="138"/>
      <x:c r="Y87" s="138"/>
      <x:c r="Z87" s="138"/>
    </x:row>
    <x:row r="88">
      <x:c r="A88" s="138"/>
      <x:c r="B88" s="138"/>
      <x:c r="C88" s="138"/>
      <x:c r="D88" s="138"/>
      <x:c r="E88" s="138"/>
      <x:c r="F88" s="138"/>
      <x:c r="G88" s="138"/>
      <x:c r="H88" s="138"/>
      <x:c r="I88" s="138"/>
      <x:c r="J88" s="138"/>
      <x:c r="K88" s="138"/>
      <x:c r="L88" s="138"/>
      <x:c r="M88" s="138"/>
      <x:c r="N88" s="138"/>
      <x:c r="O88" s="138"/>
      <x:c r="P88" s="138"/>
      <x:c r="Q88" s="138"/>
      <x:c r="R88" s="138"/>
      <x:c r="S88" s="138"/>
      <x:c r="T88" s="138"/>
      <x:c r="U88" s="138"/>
      <x:c r="V88" s="138"/>
      <x:c r="W88" s="138"/>
      <x:c r="X88" s="138"/>
      <x:c r="Y88" s="138"/>
      <x:c r="Z88" s="138"/>
    </x:row>
    <x:row r="89">
      <x:c r="A89" s="138"/>
      <x:c r="B89" s="138"/>
      <x:c r="C89" s="138"/>
      <x:c r="D89" s="138"/>
      <x:c r="E89" s="138"/>
      <x:c r="F89" s="138"/>
      <x:c r="G89" s="138"/>
      <x:c r="H89" s="138"/>
      <x:c r="I89" s="138"/>
      <x:c r="J89" s="138"/>
      <x:c r="K89" s="138"/>
      <x:c r="L89" s="138"/>
      <x:c r="M89" s="138"/>
      <x:c r="N89" s="138"/>
      <x:c r="O89" s="138"/>
      <x:c r="P89" s="138"/>
      <x:c r="Q89" s="138"/>
      <x:c r="R89" s="138"/>
      <x:c r="S89" s="138"/>
      <x:c r="T89" s="138"/>
      <x:c r="U89" s="138"/>
      <x:c r="V89" s="138"/>
      <x:c r="W89" s="138"/>
      <x:c r="X89" s="138"/>
      <x:c r="Y89" s="138"/>
      <x:c r="Z89" s="138"/>
    </x:row>
    <x:row r="90">
      <x:c r="A90" s="138"/>
      <x:c r="B90" s="138"/>
      <x:c r="C90" s="138"/>
      <x:c r="D90" s="138"/>
      <x:c r="E90" s="138"/>
      <x:c r="F90" s="138"/>
      <x:c r="G90" s="138"/>
      <x:c r="H90" s="138"/>
      <x:c r="I90" s="138"/>
      <x:c r="J90" s="138"/>
      <x:c r="K90" s="138"/>
      <x:c r="L90" s="138"/>
      <x:c r="M90" s="138"/>
      <x:c r="N90" s="138"/>
      <x:c r="O90" s="138"/>
      <x:c r="P90" s="138"/>
      <x:c r="Q90" s="138"/>
      <x:c r="R90" s="138"/>
      <x:c r="S90" s="138"/>
      <x:c r="T90" s="138"/>
      <x:c r="U90" s="138"/>
      <x:c r="V90" s="138"/>
      <x:c r="W90" s="138"/>
      <x:c r="X90" s="138"/>
      <x:c r="Y90" s="138"/>
      <x:c r="Z90" s="138"/>
    </x:row>
    <x:row r="91">
      <x:c r="A91" s="138"/>
      <x:c r="B91" s="138"/>
      <x:c r="C91" s="138"/>
      <x:c r="D91" s="138"/>
      <x:c r="E91" s="138"/>
      <x:c r="F91" s="138"/>
      <x:c r="G91" s="138"/>
      <x:c r="H91" s="138"/>
      <x:c r="I91" s="138"/>
      <x:c r="J91" s="138"/>
      <x:c r="K91" s="138"/>
      <x:c r="L91" s="138"/>
      <x:c r="M91" s="138"/>
      <x:c r="N91" s="138"/>
      <x:c r="O91" s="138"/>
      <x:c r="P91" s="138"/>
      <x:c r="Q91" s="138"/>
      <x:c r="R91" s="138"/>
      <x:c r="S91" s="138"/>
      <x:c r="T91" s="138"/>
      <x:c r="U91" s="138"/>
      <x:c r="V91" s="138"/>
      <x:c r="W91" s="138"/>
      <x:c r="X91" s="138"/>
      <x:c r="Y91" s="138"/>
      <x:c r="Z91" s="138"/>
    </x:row>
    <x:row r="92">
      <x:c r="A92" s="138"/>
      <x:c r="B92" s="138"/>
      <x:c r="C92" s="138"/>
      <x:c r="D92" s="138"/>
      <x:c r="E92" s="138"/>
      <x:c r="F92" s="138"/>
      <x:c r="G92" s="138"/>
      <x:c r="H92" s="138"/>
      <x:c r="I92" s="138"/>
      <x:c r="J92" s="138"/>
      <x:c r="K92" s="138"/>
      <x:c r="L92" s="138"/>
      <x:c r="M92" s="138"/>
      <x:c r="N92" s="138"/>
      <x:c r="O92" s="138"/>
      <x:c r="P92" s="138"/>
      <x:c r="Q92" s="138"/>
      <x:c r="R92" s="138"/>
      <x:c r="S92" s="138"/>
      <x:c r="T92" s="138"/>
      <x:c r="U92" s="138"/>
      <x:c r="V92" s="138"/>
      <x:c r="W92" s="138"/>
      <x:c r="X92" s="138"/>
      <x:c r="Y92" s="138"/>
      <x:c r="Z92" s="138"/>
    </x:row>
    <x:row r="93">
      <x:c r="A93" s="138"/>
      <x:c r="B93" s="138"/>
      <x:c r="C93" s="138"/>
      <x:c r="D93" s="138"/>
      <x:c r="E93" s="138"/>
      <x:c r="F93" s="138"/>
      <x:c r="G93" s="138"/>
      <x:c r="H93" s="138"/>
      <x:c r="I93" s="138"/>
      <x:c r="J93" s="138"/>
      <x:c r="K93" s="138"/>
      <x:c r="L93" s="138"/>
      <x:c r="M93" s="138"/>
      <x:c r="N93" s="138"/>
      <x:c r="O93" s="138"/>
      <x:c r="P93" s="138"/>
      <x:c r="Q93" s="138"/>
      <x:c r="R93" s="138"/>
      <x:c r="S93" s="138"/>
      <x:c r="T93" s="138"/>
      <x:c r="U93" s="138"/>
      <x:c r="V93" s="138"/>
      <x:c r="W93" s="138"/>
      <x:c r="X93" s="138"/>
      <x:c r="Y93" s="138"/>
      <x:c r="Z93" s="138"/>
    </x:row>
    <x:row r="94">
      <x:c r="A94" s="138"/>
      <x:c r="B94" s="138"/>
      <x:c r="C94" s="138"/>
      <x:c r="D94" s="138"/>
      <x:c r="E94" s="138"/>
      <x:c r="F94" s="138"/>
      <x:c r="G94" s="138"/>
      <x:c r="H94" s="138"/>
      <x:c r="I94" s="138"/>
      <x:c r="J94" s="138"/>
      <x:c r="K94" s="138"/>
      <x:c r="L94" s="138"/>
      <x:c r="M94" s="138"/>
      <x:c r="N94" s="138"/>
      <x:c r="O94" s="138"/>
      <x:c r="P94" s="138"/>
      <x:c r="Q94" s="138"/>
      <x:c r="R94" s="138"/>
      <x:c r="S94" s="138"/>
      <x:c r="T94" s="138"/>
      <x:c r="U94" s="138"/>
      <x:c r="V94" s="138"/>
      <x:c r="W94" s="138"/>
      <x:c r="X94" s="138"/>
      <x:c r="Y94" s="138"/>
      <x:c r="Z94" s="138"/>
    </x:row>
    <x:row r="95">
      <x:c r="A95" s="138"/>
      <x:c r="B95" s="138"/>
      <x:c r="C95" s="138"/>
      <x:c r="D95" s="138"/>
      <x:c r="E95" s="138"/>
      <x:c r="F95" s="138"/>
      <x:c r="G95" s="138"/>
      <x:c r="H95" s="138"/>
      <x:c r="I95" s="138"/>
      <x:c r="J95" s="138"/>
      <x:c r="K95" s="138"/>
      <x:c r="L95" s="138"/>
      <x:c r="M95" s="138"/>
      <x:c r="N95" s="138"/>
      <x:c r="O95" s="138"/>
      <x:c r="P95" s="138"/>
      <x:c r="Q95" s="138"/>
      <x:c r="R95" s="138"/>
      <x:c r="S95" s="138"/>
      <x:c r="T95" s="138"/>
      <x:c r="U95" s="138"/>
      <x:c r="V95" s="138"/>
      <x:c r="W95" s="138"/>
      <x:c r="X95" s="138"/>
      <x:c r="Y95" s="138"/>
      <x:c r="Z95" s="138"/>
    </x:row>
    <x:row r="96">
      <x:c r="A96" s="138"/>
      <x:c r="B96" s="138"/>
      <x:c r="C96" s="138"/>
      <x:c r="D96" s="138"/>
      <x:c r="E96" s="138"/>
      <x:c r="F96" s="138"/>
      <x:c r="G96" s="138"/>
      <x:c r="H96" s="138"/>
      <x:c r="I96" s="138"/>
      <x:c r="J96" s="138"/>
      <x:c r="K96" s="138"/>
      <x:c r="L96" s="138"/>
      <x:c r="M96" s="138"/>
      <x:c r="N96" s="138"/>
      <x:c r="O96" s="138"/>
      <x:c r="P96" s="138"/>
      <x:c r="Q96" s="138"/>
      <x:c r="R96" s="138"/>
      <x:c r="S96" s="138"/>
      <x:c r="T96" s="138"/>
      <x:c r="U96" s="138"/>
      <x:c r="V96" s="138"/>
      <x:c r="W96" s="138"/>
      <x:c r="X96" s="138"/>
      <x:c r="Y96" s="138"/>
      <x:c r="Z96" s="138"/>
    </x:row>
    <x:row r="97">
      <x:c r="A97" s="138"/>
      <x:c r="B97" s="138"/>
      <x:c r="C97" s="138"/>
      <x:c r="D97" s="138"/>
      <x:c r="E97" s="138"/>
      <x:c r="F97" s="138"/>
      <x:c r="G97" s="138"/>
      <x:c r="H97" s="138"/>
      <x:c r="I97" s="138"/>
      <x:c r="J97" s="138"/>
      <x:c r="K97" s="138"/>
      <x:c r="L97" s="138"/>
      <x:c r="M97" s="138"/>
      <x:c r="N97" s="138"/>
      <x:c r="O97" s="138"/>
      <x:c r="P97" s="138"/>
      <x:c r="Q97" s="138"/>
      <x:c r="R97" s="138"/>
      <x:c r="S97" s="138"/>
      <x:c r="T97" s="138"/>
      <x:c r="U97" s="138"/>
      <x:c r="V97" s="138"/>
      <x:c r="W97" s="138"/>
      <x:c r="X97" s="138"/>
      <x:c r="Y97" s="138"/>
      <x:c r="Z97" s="138"/>
    </x:row>
    <x:row r="98">
      <x:c r="A98" s="138"/>
      <x:c r="B98" s="138"/>
      <x:c r="C98" s="138"/>
      <x:c r="D98" s="138"/>
      <x:c r="E98" s="138"/>
      <x:c r="F98" s="138"/>
      <x:c r="G98" s="138"/>
      <x:c r="H98" s="138"/>
      <x:c r="I98" s="138"/>
      <x:c r="J98" s="138"/>
      <x:c r="K98" s="138"/>
      <x:c r="L98" s="138"/>
      <x:c r="M98" s="138"/>
      <x:c r="N98" s="138"/>
      <x:c r="O98" s="138"/>
      <x:c r="P98" s="138"/>
      <x:c r="Q98" s="138"/>
      <x:c r="R98" s="138"/>
      <x:c r="S98" s="138"/>
      <x:c r="T98" s="138"/>
      <x:c r="U98" s="138"/>
      <x:c r="V98" s="138"/>
      <x:c r="W98" s="138"/>
      <x:c r="X98" s="138"/>
      <x:c r="Y98" s="138"/>
      <x:c r="Z98" s="138"/>
    </x:row>
    <x:row r="99">
      <x:c r="A99" s="138"/>
      <x:c r="B99" s="138"/>
      <x:c r="C99" s="138"/>
      <x:c r="D99" s="138"/>
      <x:c r="E99" s="138"/>
      <x:c r="F99" s="138"/>
      <x:c r="G99" s="138"/>
      <x:c r="H99" s="138"/>
      <x:c r="I99" s="138"/>
      <x:c r="J99" s="138"/>
      <x:c r="K99" s="138"/>
      <x:c r="L99" s="138"/>
      <x:c r="M99" s="138"/>
      <x:c r="N99" s="138"/>
      <x:c r="O99" s="138"/>
      <x:c r="P99" s="138"/>
      <x:c r="Q99" s="138"/>
      <x:c r="R99" s="138"/>
      <x:c r="S99" s="138"/>
      <x:c r="T99" s="138"/>
      <x:c r="U99" s="138"/>
      <x:c r="V99" s="138"/>
      <x:c r="W99" s="138"/>
      <x:c r="X99" s="138"/>
      <x:c r="Y99" s="138"/>
      <x:c r="Z99" s="138"/>
    </x:row>
    <x:row r="100">
      <x:c r="A100" s="138"/>
      <x:c r="B100" s="138"/>
      <x:c r="C100" s="138"/>
      <x:c r="D100" s="138"/>
      <x:c r="E100" s="138"/>
      <x:c r="F100" s="138"/>
      <x:c r="G100" s="138"/>
      <x:c r="H100" s="138"/>
      <x:c r="I100" s="138"/>
      <x:c r="J100" s="138"/>
      <x:c r="K100" s="138"/>
      <x:c r="L100" s="138"/>
      <x:c r="M100" s="138"/>
      <x:c r="N100" s="138"/>
      <x:c r="O100" s="138"/>
      <x:c r="P100" s="138"/>
      <x:c r="Q100" s="138"/>
      <x:c r="R100" s="138"/>
      <x:c r="S100" s="138"/>
      <x:c r="T100" s="138"/>
      <x:c r="U100" s="138"/>
      <x:c r="V100" s="138"/>
      <x:c r="W100" s="138"/>
      <x:c r="X100" s="138"/>
      <x:c r="Y100" s="138"/>
      <x:c r="Z100" s="138"/>
    </x:row>
    <x:row r="101">
      <x:c r="A101" s="138"/>
      <x:c r="B101" s="138"/>
      <x:c r="C101" s="138"/>
      <x:c r="D101" s="138"/>
      <x:c r="E101" s="138"/>
      <x:c r="F101" s="138"/>
      <x:c r="G101" s="138"/>
      <x:c r="H101" s="138"/>
      <x:c r="I101" s="138"/>
      <x:c r="J101" s="138"/>
      <x:c r="K101" s="138"/>
      <x:c r="L101" s="138"/>
      <x:c r="M101" s="138"/>
      <x:c r="N101" s="138"/>
      <x:c r="O101" s="138"/>
      <x:c r="P101" s="138"/>
      <x:c r="Q101" s="138"/>
      <x:c r="R101" s="138"/>
      <x:c r="S101" s="138"/>
      <x:c r="T101" s="138"/>
      <x:c r="U101" s="138"/>
      <x:c r="V101" s="138"/>
      <x:c r="W101" s="138"/>
      <x:c r="X101" s="138"/>
      <x:c r="Y101" s="138"/>
      <x:c r="Z101" s="138"/>
    </x:row>
    <x:row r="102">
      <x:c r="A102" s="138"/>
      <x:c r="B102" s="138"/>
      <x:c r="C102" s="138"/>
      <x:c r="D102" s="138"/>
      <x:c r="E102" s="138"/>
      <x:c r="F102" s="138"/>
      <x:c r="G102" s="138"/>
      <x:c r="H102" s="138"/>
      <x:c r="I102" s="138"/>
      <x:c r="J102" s="138"/>
      <x:c r="K102" s="138"/>
      <x:c r="L102" s="138"/>
      <x:c r="M102" s="138"/>
      <x:c r="N102" s="138"/>
      <x:c r="O102" s="138"/>
      <x:c r="P102" s="138"/>
      <x:c r="Q102" s="138"/>
      <x:c r="R102" s="138"/>
      <x:c r="S102" s="138"/>
      <x:c r="T102" s="138"/>
      <x:c r="U102" s="138"/>
      <x:c r="V102" s="138"/>
      <x:c r="W102" s="138"/>
      <x:c r="X102" s="138"/>
      <x:c r="Y102" s="138"/>
      <x:c r="Z102" s="138"/>
    </x:row>
    <x:row r="103">
      <x:c r="A103" s="138"/>
      <x:c r="B103" s="138"/>
      <x:c r="C103" s="138"/>
      <x:c r="D103" s="138"/>
      <x:c r="E103" s="138"/>
      <x:c r="F103" s="138"/>
      <x:c r="G103" s="138"/>
      <x:c r="H103" s="138"/>
      <x:c r="I103" s="138"/>
      <x:c r="J103" s="138"/>
      <x:c r="K103" s="138"/>
      <x:c r="L103" s="138"/>
      <x:c r="M103" s="138"/>
      <x:c r="N103" s="138"/>
      <x:c r="O103" s="138"/>
      <x:c r="P103" s="138"/>
      <x:c r="Q103" s="138"/>
      <x:c r="R103" s="138"/>
      <x:c r="S103" s="138"/>
      <x:c r="T103" s="138"/>
      <x:c r="U103" s="138"/>
      <x:c r="V103" s="138"/>
      <x:c r="W103" s="138"/>
      <x:c r="X103" s="138"/>
      <x:c r="Y103" s="138"/>
      <x:c r="Z103" s="138"/>
    </x:row>
    <x:row r="104">
      <x:c r="A104" s="138"/>
      <x:c r="B104" s="138"/>
      <x:c r="C104" s="138"/>
      <x:c r="D104" s="138"/>
      <x:c r="E104" s="138"/>
      <x:c r="F104" s="138"/>
      <x:c r="G104" s="138"/>
      <x:c r="H104" s="138"/>
      <x:c r="I104" s="138"/>
      <x:c r="J104" s="138"/>
      <x:c r="K104" s="138"/>
      <x:c r="L104" s="138"/>
      <x:c r="M104" s="138"/>
      <x:c r="N104" s="138"/>
      <x:c r="O104" s="138"/>
      <x:c r="P104" s="138"/>
      <x:c r="Q104" s="138"/>
      <x:c r="R104" s="138"/>
      <x:c r="S104" s="138"/>
      <x:c r="T104" s="138"/>
      <x:c r="U104" s="138"/>
      <x:c r="V104" s="138"/>
      <x:c r="W104" s="138"/>
      <x:c r="X104" s="138"/>
      <x:c r="Y104" s="138"/>
      <x:c r="Z104" s="138"/>
    </x:row>
    <x:row r="105">
      <x:c r="A105" s="138"/>
      <x:c r="B105" s="138"/>
      <x:c r="C105" s="138"/>
      <x:c r="D105" s="138"/>
      <x:c r="E105" s="138"/>
      <x:c r="F105" s="138"/>
      <x:c r="G105" s="138"/>
      <x:c r="H105" s="138"/>
      <x:c r="I105" s="138"/>
      <x:c r="J105" s="138"/>
      <x:c r="K105" s="138"/>
      <x:c r="L105" s="138"/>
      <x:c r="M105" s="138"/>
      <x:c r="N105" s="138"/>
      <x:c r="O105" s="138"/>
      <x:c r="P105" s="138"/>
      <x:c r="Q105" s="138"/>
      <x:c r="R105" s="138"/>
      <x:c r="S105" s="138"/>
      <x:c r="T105" s="138"/>
      <x:c r="U105" s="138"/>
      <x:c r="V105" s="138"/>
      <x:c r="W105" s="138"/>
      <x:c r="X105" s="138"/>
      <x:c r="Y105" s="138"/>
      <x:c r="Z105" s="138"/>
    </x:row>
    <x:row r="106">
      <x:c r="A106" s="138"/>
      <x:c r="B106" s="138"/>
      <x:c r="C106" s="138"/>
      <x:c r="D106" s="138"/>
      <x:c r="E106" s="138"/>
      <x:c r="F106" s="138"/>
      <x:c r="G106" s="138"/>
      <x:c r="H106" s="138"/>
      <x:c r="I106" s="138"/>
      <x:c r="J106" s="138"/>
      <x:c r="K106" s="138"/>
      <x:c r="L106" s="138"/>
      <x:c r="M106" s="138"/>
      <x:c r="N106" s="138"/>
      <x:c r="O106" s="138"/>
      <x:c r="P106" s="138"/>
      <x:c r="Q106" s="138"/>
      <x:c r="R106" s="138"/>
      <x:c r="S106" s="138"/>
      <x:c r="T106" s="138"/>
      <x:c r="U106" s="138"/>
      <x:c r="V106" s="138"/>
      <x:c r="W106" s="138"/>
      <x:c r="X106" s="138"/>
      <x:c r="Y106" s="138"/>
      <x:c r="Z106" s="138"/>
    </x:row>
    <x:row r="107">
      <x:c r="A107" s="138"/>
      <x:c r="B107" s="138"/>
      <x:c r="C107" s="138"/>
      <x:c r="D107" s="138"/>
      <x:c r="E107" s="138"/>
      <x:c r="F107" s="138"/>
      <x:c r="G107" s="138"/>
      <x:c r="H107" s="138"/>
      <x:c r="I107" s="138"/>
      <x:c r="J107" s="138"/>
      <x:c r="K107" s="138"/>
      <x:c r="L107" s="138"/>
      <x:c r="M107" s="138"/>
      <x:c r="N107" s="138"/>
      <x:c r="O107" s="138"/>
      <x:c r="P107" s="138"/>
      <x:c r="Q107" s="138"/>
      <x:c r="R107" s="138"/>
      <x:c r="S107" s="138"/>
      <x:c r="T107" s="138"/>
      <x:c r="U107" s="138"/>
      <x:c r="V107" s="138"/>
      <x:c r="W107" s="138"/>
      <x:c r="X107" s="138"/>
      <x:c r="Y107" s="138"/>
      <x:c r="Z107" s="138"/>
    </x:row>
    <x:row r="108">
      <x:c r="A108" s="138"/>
      <x:c r="B108" s="138"/>
      <x:c r="C108" s="138"/>
      <x:c r="D108" s="138"/>
      <x:c r="E108" s="138"/>
      <x:c r="F108" s="138"/>
      <x:c r="G108" s="138"/>
      <x:c r="H108" s="138"/>
      <x:c r="I108" s="138"/>
      <x:c r="J108" s="138"/>
      <x:c r="K108" s="138"/>
      <x:c r="L108" s="138"/>
      <x:c r="M108" s="138"/>
      <x:c r="N108" s="138"/>
      <x:c r="O108" s="138"/>
      <x:c r="P108" s="138"/>
      <x:c r="Q108" s="138"/>
      <x:c r="R108" s="138"/>
      <x:c r="S108" s="138"/>
      <x:c r="T108" s="138"/>
      <x:c r="U108" s="138"/>
      <x:c r="V108" s="138"/>
      <x:c r="W108" s="138"/>
      <x:c r="X108" s="138"/>
      <x:c r="Y108" s="138"/>
      <x:c r="Z108" s="138"/>
    </x:row>
    <x:row r="109">
      <x:c r="A109" s="138"/>
      <x:c r="B109" s="138"/>
      <x:c r="C109" s="138"/>
      <x:c r="D109" s="138"/>
      <x:c r="E109" s="138"/>
      <x:c r="F109" s="138"/>
      <x:c r="G109" s="138"/>
      <x:c r="H109" s="138"/>
      <x:c r="I109" s="138"/>
      <x:c r="J109" s="138"/>
      <x:c r="K109" s="138"/>
      <x:c r="L109" s="138"/>
      <x:c r="M109" s="138"/>
      <x:c r="N109" s="138"/>
      <x:c r="O109" s="138"/>
      <x:c r="P109" s="138"/>
      <x:c r="Q109" s="138"/>
      <x:c r="R109" s="138"/>
      <x:c r="S109" s="138"/>
      <x:c r="T109" s="138"/>
      <x:c r="U109" s="138"/>
      <x:c r="V109" s="138"/>
      <x:c r="W109" s="138"/>
      <x:c r="X109" s="138"/>
      <x:c r="Y109" s="138"/>
      <x:c r="Z109" s="138"/>
    </x:row>
    <x:row r="110">
      <x:c r="A110" s="138"/>
      <x:c r="B110" s="138"/>
      <x:c r="C110" s="138"/>
      <x:c r="D110" s="138"/>
      <x:c r="E110" s="138"/>
      <x:c r="F110" s="138"/>
      <x:c r="G110" s="138"/>
      <x:c r="H110" s="138"/>
      <x:c r="I110" s="138"/>
      <x:c r="J110" s="138"/>
      <x:c r="K110" s="138"/>
      <x:c r="L110" s="138"/>
      <x:c r="M110" s="138"/>
      <x:c r="N110" s="138"/>
      <x:c r="O110" s="138"/>
      <x:c r="P110" s="138"/>
      <x:c r="Q110" s="138"/>
      <x:c r="R110" s="138"/>
      <x:c r="S110" s="138"/>
      <x:c r="T110" s="138"/>
      <x:c r="U110" s="138"/>
      <x:c r="V110" s="138"/>
      <x:c r="W110" s="138"/>
      <x:c r="X110" s="138"/>
      <x:c r="Y110" s="138"/>
      <x:c r="Z110" s="138"/>
    </x:row>
    <x:row r="111">
      <x:c r="A111" s="138"/>
      <x:c r="B111" s="138"/>
      <x:c r="C111" s="138"/>
      <x:c r="D111" s="138"/>
      <x:c r="E111" s="138"/>
      <x:c r="F111" s="138"/>
      <x:c r="G111" s="138"/>
      <x:c r="H111" s="138"/>
      <x:c r="I111" s="138"/>
      <x:c r="J111" s="138"/>
      <x:c r="K111" s="138"/>
      <x:c r="L111" s="138"/>
      <x:c r="M111" s="138"/>
      <x:c r="N111" s="138"/>
      <x:c r="O111" s="138"/>
      <x:c r="P111" s="138"/>
      <x:c r="Q111" s="138"/>
      <x:c r="R111" s="138"/>
      <x:c r="S111" s="138"/>
      <x:c r="T111" s="138"/>
      <x:c r="U111" s="138"/>
      <x:c r="V111" s="138"/>
      <x:c r="W111" s="138"/>
      <x:c r="X111" s="138"/>
      <x:c r="Y111" s="138"/>
      <x:c r="Z111" s="138"/>
    </x:row>
    <x:row r="112">
      <x:c r="A112" s="138"/>
      <x:c r="B112" s="138"/>
      <x:c r="C112" s="138"/>
      <x:c r="D112" s="138"/>
      <x:c r="E112" s="138"/>
      <x:c r="F112" s="138"/>
      <x:c r="G112" s="138"/>
      <x:c r="H112" s="138"/>
      <x:c r="I112" s="138"/>
      <x:c r="J112" s="138"/>
      <x:c r="K112" s="138"/>
      <x:c r="L112" s="138"/>
      <x:c r="M112" s="138"/>
      <x:c r="N112" s="138"/>
      <x:c r="O112" s="138"/>
      <x:c r="P112" s="138"/>
      <x:c r="Q112" s="138"/>
      <x:c r="R112" s="138"/>
      <x:c r="S112" s="138"/>
      <x:c r="T112" s="138"/>
      <x:c r="U112" s="138"/>
      <x:c r="V112" s="138"/>
      <x:c r="W112" s="138"/>
      <x:c r="X112" s="138"/>
      <x:c r="Y112" s="138"/>
      <x:c r="Z112" s="138"/>
    </x:row>
    <x:row r="113">
      <x:c r="A113" s="138"/>
      <x:c r="B113" s="138"/>
      <x:c r="C113" s="138"/>
      <x:c r="D113" s="138"/>
      <x:c r="E113" s="138"/>
      <x:c r="F113" s="138"/>
      <x:c r="G113" s="138"/>
      <x:c r="H113" s="138"/>
      <x:c r="I113" s="138"/>
      <x:c r="J113" s="138"/>
      <x:c r="K113" s="138"/>
      <x:c r="L113" s="138"/>
      <x:c r="M113" s="138"/>
      <x:c r="N113" s="138"/>
      <x:c r="O113" s="138"/>
      <x:c r="P113" s="138"/>
      <x:c r="Q113" s="138"/>
      <x:c r="R113" s="138"/>
      <x:c r="S113" s="138"/>
      <x:c r="T113" s="138"/>
      <x:c r="U113" s="138"/>
      <x:c r="V113" s="138"/>
      <x:c r="W113" s="138"/>
      <x:c r="X113" s="138"/>
      <x:c r="Y113" s="138"/>
      <x:c r="Z113" s="138"/>
    </x:row>
    <x:row r="114">
      <x:c r="A114" s="138"/>
      <x:c r="B114" s="138"/>
      <x:c r="C114" s="138"/>
      <x:c r="D114" s="138"/>
      <x:c r="E114" s="138"/>
      <x:c r="F114" s="138"/>
      <x:c r="G114" s="138"/>
      <x:c r="H114" s="138"/>
      <x:c r="I114" s="138"/>
      <x:c r="J114" s="138"/>
      <x:c r="K114" s="138"/>
      <x:c r="L114" s="138"/>
      <x:c r="M114" s="138"/>
      <x:c r="N114" s="138"/>
      <x:c r="O114" s="138"/>
      <x:c r="P114" s="138"/>
      <x:c r="Q114" s="138"/>
      <x:c r="R114" s="138"/>
      <x:c r="S114" s="138"/>
      <x:c r="T114" s="138"/>
      <x:c r="U114" s="138"/>
      <x:c r="V114" s="138"/>
      <x:c r="W114" s="138"/>
      <x:c r="X114" s="138"/>
      <x:c r="Y114" s="138"/>
      <x:c r="Z114" s="138"/>
    </x:row>
    <x:row r="115">
      <x:c r="A115" s="138"/>
      <x:c r="B115" s="138"/>
      <x:c r="C115" s="138"/>
      <x:c r="D115" s="138"/>
      <x:c r="E115" s="138"/>
      <x:c r="F115" s="138"/>
      <x:c r="G115" s="138"/>
      <x:c r="H115" s="138"/>
      <x:c r="I115" s="138"/>
      <x:c r="J115" s="138"/>
      <x:c r="K115" s="138"/>
      <x:c r="L115" s="138"/>
      <x:c r="M115" s="138"/>
      <x:c r="N115" s="138"/>
      <x:c r="O115" s="138"/>
      <x:c r="P115" s="138"/>
      <x:c r="Q115" s="138"/>
      <x:c r="R115" s="138"/>
      <x:c r="S115" s="138"/>
      <x:c r="T115" s="138"/>
      <x:c r="U115" s="138"/>
      <x:c r="V115" s="138"/>
      <x:c r="W115" s="138"/>
      <x:c r="X115" s="138"/>
      <x:c r="Y115" s="138"/>
      <x:c r="Z115" s="138"/>
    </x:row>
    <x:row r="116">
      <x:c r="A116" s="138"/>
      <x:c r="B116" s="138"/>
      <x:c r="C116" s="138"/>
      <x:c r="D116" s="138"/>
      <x:c r="E116" s="138"/>
      <x:c r="F116" s="138"/>
      <x:c r="G116" s="138"/>
      <x:c r="H116" s="138"/>
      <x:c r="I116" s="138"/>
      <x:c r="J116" s="138"/>
      <x:c r="K116" s="138"/>
      <x:c r="L116" s="138"/>
      <x:c r="M116" s="138"/>
      <x:c r="N116" s="138"/>
      <x:c r="O116" s="138"/>
      <x:c r="P116" s="138"/>
      <x:c r="Q116" s="138"/>
      <x:c r="R116" s="138"/>
      <x:c r="S116" s="138"/>
      <x:c r="T116" s="138"/>
      <x:c r="U116" s="138"/>
      <x:c r="V116" s="138"/>
      <x:c r="W116" s="138"/>
      <x:c r="X116" s="138"/>
      <x:c r="Y116" s="138"/>
      <x:c r="Z116" s="138"/>
    </x:row>
    <x:row r="117">
      <x:c r="A117" s="138"/>
      <x:c r="B117" s="138"/>
      <x:c r="C117" s="138"/>
      <x:c r="D117" s="138"/>
      <x:c r="E117" s="138"/>
      <x:c r="F117" s="138"/>
      <x:c r="G117" s="138"/>
      <x:c r="H117" s="138"/>
      <x:c r="I117" s="138"/>
      <x:c r="J117" s="138"/>
      <x:c r="K117" s="138"/>
      <x:c r="L117" s="138"/>
      <x:c r="M117" s="138"/>
      <x:c r="N117" s="138"/>
      <x:c r="O117" s="138"/>
      <x:c r="P117" s="138"/>
      <x:c r="Q117" s="138"/>
      <x:c r="R117" s="138"/>
      <x:c r="S117" s="138"/>
      <x:c r="T117" s="138"/>
      <x:c r="U117" s="138"/>
      <x:c r="V117" s="138"/>
      <x:c r="W117" s="138"/>
      <x:c r="X117" s="138"/>
      <x:c r="Y117" s="138"/>
      <x:c r="Z117" s="138"/>
    </x:row>
    <x:row r="118">
      <x:c r="A118" s="138"/>
      <x:c r="B118" s="138"/>
      <x:c r="C118" s="138"/>
      <x:c r="D118" s="138"/>
      <x:c r="E118" s="138"/>
      <x:c r="F118" s="138"/>
      <x:c r="G118" s="138"/>
      <x:c r="H118" s="138"/>
      <x:c r="I118" s="138"/>
      <x:c r="J118" s="138"/>
      <x:c r="K118" s="138"/>
      <x:c r="L118" s="138"/>
      <x:c r="M118" s="138"/>
      <x:c r="N118" s="138"/>
      <x:c r="O118" s="138"/>
      <x:c r="P118" s="138"/>
      <x:c r="Q118" s="138"/>
      <x:c r="R118" s="138"/>
      <x:c r="S118" s="138"/>
      <x:c r="T118" s="138"/>
      <x:c r="U118" s="138"/>
      <x:c r="V118" s="138"/>
      <x:c r="W118" s="138"/>
      <x:c r="X118" s="138"/>
      <x:c r="Y118" s="138"/>
      <x:c r="Z118" s="138"/>
    </x:row>
    <x:row r="119">
      <x:c r="A119" s="138"/>
      <x:c r="B119" s="138"/>
      <x:c r="C119" s="138"/>
      <x:c r="D119" s="138"/>
      <x:c r="E119" s="138"/>
      <x:c r="F119" s="138"/>
      <x:c r="G119" s="138"/>
      <x:c r="H119" s="138"/>
      <x:c r="I119" s="138"/>
      <x:c r="J119" s="138"/>
      <x:c r="K119" s="138"/>
      <x:c r="L119" s="138"/>
      <x:c r="M119" s="138"/>
      <x:c r="N119" s="138"/>
      <x:c r="O119" s="138"/>
      <x:c r="P119" s="138"/>
      <x:c r="Q119" s="138"/>
      <x:c r="R119" s="138"/>
      <x:c r="S119" s="138"/>
      <x:c r="T119" s="138"/>
      <x:c r="U119" s="138"/>
      <x:c r="V119" s="138"/>
      <x:c r="W119" s="138"/>
      <x:c r="X119" s="138"/>
      <x:c r="Y119" s="138"/>
      <x:c r="Z119" s="138"/>
    </x:row>
    <x:row r="120">
      <x:c r="A120" s="138"/>
      <x:c r="B120" s="138"/>
      <x:c r="C120" s="138"/>
      <x:c r="D120" s="138"/>
      <x:c r="E120" s="138"/>
      <x:c r="F120" s="138"/>
      <x:c r="G120" s="138"/>
      <x:c r="H120" s="138"/>
      <x:c r="I120" s="138"/>
      <x:c r="J120" s="138"/>
      <x:c r="K120" s="138"/>
      <x:c r="L120" s="138"/>
      <x:c r="M120" s="138"/>
      <x:c r="N120" s="138"/>
      <x:c r="O120" s="138"/>
      <x:c r="P120" s="138"/>
      <x:c r="Q120" s="138"/>
      <x:c r="R120" s="138"/>
      <x:c r="S120" s="138"/>
      <x:c r="T120" s="138"/>
      <x:c r="U120" s="138"/>
      <x:c r="V120" s="138"/>
      <x:c r="W120" s="138"/>
      <x:c r="X120" s="138"/>
      <x:c r="Y120" s="138"/>
      <x:c r="Z120" s="138"/>
    </x:row>
    <x:row r="121">
      <x:c r="A121" s="138"/>
      <x:c r="B121" s="138"/>
      <x:c r="C121" s="138"/>
      <x:c r="D121" s="138"/>
      <x:c r="E121" s="138"/>
      <x:c r="F121" s="138"/>
      <x:c r="G121" s="138"/>
      <x:c r="H121" s="138"/>
      <x:c r="I121" s="138"/>
      <x:c r="J121" s="138"/>
      <x:c r="K121" s="138"/>
      <x:c r="L121" s="138"/>
      <x:c r="M121" s="138"/>
      <x:c r="N121" s="138"/>
      <x:c r="O121" s="138"/>
      <x:c r="P121" s="138"/>
      <x:c r="Q121" s="138"/>
      <x:c r="R121" s="138"/>
      <x:c r="S121" s="138"/>
      <x:c r="T121" s="138"/>
      <x:c r="U121" s="138"/>
      <x:c r="V121" s="138"/>
      <x:c r="W121" s="138"/>
      <x:c r="X121" s="138"/>
      <x:c r="Y121" s="138"/>
      <x:c r="Z121" s="138"/>
    </x:row>
    <x:row r="122">
      <x:c r="A122" s="138"/>
      <x:c r="B122" s="138"/>
      <x:c r="C122" s="138"/>
      <x:c r="D122" s="138"/>
      <x:c r="E122" s="138"/>
      <x:c r="F122" s="138"/>
      <x:c r="G122" s="138"/>
      <x:c r="H122" s="138"/>
      <x:c r="I122" s="138"/>
      <x:c r="J122" s="138"/>
      <x:c r="K122" s="138"/>
      <x:c r="L122" s="138"/>
      <x:c r="M122" s="138"/>
      <x:c r="N122" s="138"/>
      <x:c r="O122" s="138"/>
      <x:c r="P122" s="138"/>
      <x:c r="Q122" s="138"/>
      <x:c r="R122" s="138"/>
      <x:c r="S122" s="138"/>
      <x:c r="T122" s="138"/>
      <x:c r="U122" s="138"/>
      <x:c r="V122" s="138"/>
      <x:c r="W122" s="138"/>
      <x:c r="X122" s="138"/>
      <x:c r="Y122" s="138"/>
      <x:c r="Z122" s="138"/>
    </x:row>
    <x:row r="123">
      <x:c r="A123" s="138"/>
      <x:c r="B123" s="138"/>
      <x:c r="C123" s="138"/>
      <x:c r="D123" s="138"/>
      <x:c r="E123" s="138"/>
      <x:c r="F123" s="138"/>
      <x:c r="G123" s="138"/>
      <x:c r="H123" s="138"/>
      <x:c r="I123" s="138"/>
      <x:c r="J123" s="138"/>
      <x:c r="K123" s="138"/>
      <x:c r="L123" s="138"/>
      <x:c r="M123" s="138"/>
      <x:c r="N123" s="138"/>
      <x:c r="O123" s="138"/>
      <x:c r="P123" s="138"/>
      <x:c r="Q123" s="138"/>
      <x:c r="R123" s="138"/>
      <x:c r="S123" s="138"/>
      <x:c r="T123" s="138"/>
      <x:c r="U123" s="138"/>
      <x:c r="V123" s="138"/>
      <x:c r="W123" s="138"/>
      <x:c r="X123" s="138"/>
      <x:c r="Y123" s="138"/>
      <x:c r="Z123" s="138"/>
    </x:row>
    <x:row r="124">
      <x:c r="A124" s="138"/>
      <x:c r="B124" s="138"/>
      <x:c r="C124" s="138"/>
      <x:c r="D124" s="138"/>
      <x:c r="E124" s="138"/>
      <x:c r="F124" s="138"/>
      <x:c r="G124" s="138"/>
      <x:c r="H124" s="138"/>
      <x:c r="I124" s="138"/>
      <x:c r="J124" s="138"/>
      <x:c r="K124" s="138"/>
      <x:c r="L124" s="138"/>
      <x:c r="M124" s="138"/>
      <x:c r="N124" s="138"/>
      <x:c r="O124" s="138"/>
      <x:c r="P124" s="138"/>
      <x:c r="Q124" s="138"/>
      <x:c r="R124" s="138"/>
      <x:c r="S124" s="138"/>
      <x:c r="T124" s="138"/>
      <x:c r="U124" s="138"/>
      <x:c r="V124" s="138"/>
      <x:c r="W124" s="138"/>
      <x:c r="X124" s="138"/>
      <x:c r="Y124" s="138"/>
      <x:c r="Z124" s="138"/>
    </x:row>
    <x:row r="125">
      <x:c r="A125" s="138"/>
      <x:c r="B125" s="138"/>
      <x:c r="C125" s="138"/>
      <x:c r="D125" s="138"/>
      <x:c r="E125" s="138"/>
      <x:c r="F125" s="138"/>
      <x:c r="G125" s="138"/>
      <x:c r="H125" s="138"/>
      <x:c r="I125" s="138"/>
      <x:c r="J125" s="138"/>
      <x:c r="K125" s="138"/>
      <x:c r="L125" s="138"/>
      <x:c r="M125" s="138"/>
      <x:c r="N125" s="138"/>
      <x:c r="O125" s="138"/>
      <x:c r="P125" s="138"/>
      <x:c r="Q125" s="138"/>
      <x:c r="R125" s="138"/>
      <x:c r="S125" s="138"/>
      <x:c r="T125" s="138"/>
      <x:c r="U125" s="138"/>
      <x:c r="V125" s="138"/>
      <x:c r="W125" s="138"/>
      <x:c r="X125" s="138"/>
      <x:c r="Y125" s="138"/>
      <x:c r="Z125" s="138"/>
    </x:row>
    <x:row r="126">
      <x:c r="A126" s="138"/>
      <x:c r="B126" s="138"/>
      <x:c r="C126" s="138"/>
      <x:c r="D126" s="138"/>
      <x:c r="E126" s="138"/>
      <x:c r="F126" s="138"/>
      <x:c r="G126" s="138"/>
      <x:c r="H126" s="138"/>
      <x:c r="I126" s="138"/>
      <x:c r="J126" s="138"/>
      <x:c r="K126" s="138"/>
      <x:c r="L126" s="138"/>
      <x:c r="M126" s="138"/>
      <x:c r="N126" s="138"/>
      <x:c r="O126" s="138"/>
      <x:c r="P126" s="138"/>
      <x:c r="Q126" s="138"/>
      <x:c r="R126" s="138"/>
      <x:c r="S126" s="138"/>
      <x:c r="T126" s="138"/>
      <x:c r="U126" s="138"/>
      <x:c r="V126" s="138"/>
      <x:c r="W126" s="138"/>
      <x:c r="X126" s="138"/>
      <x:c r="Y126" s="138"/>
      <x:c r="Z126" s="138"/>
    </x:row>
    <x:row r="127">
      <x:c r="A127" s="138"/>
      <x:c r="B127" s="138"/>
      <x:c r="C127" s="138"/>
      <x:c r="D127" s="138"/>
      <x:c r="E127" s="138"/>
      <x:c r="F127" s="138"/>
      <x:c r="G127" s="138"/>
      <x:c r="H127" s="138"/>
      <x:c r="I127" s="138"/>
      <x:c r="J127" s="138"/>
      <x:c r="K127" s="138"/>
      <x:c r="L127" s="138"/>
      <x:c r="M127" s="138"/>
      <x:c r="N127" s="138"/>
      <x:c r="O127" s="138"/>
      <x:c r="P127" s="138"/>
      <x:c r="Q127" s="138"/>
      <x:c r="R127" s="138"/>
      <x:c r="S127" s="138"/>
      <x:c r="T127" s="138"/>
      <x:c r="U127" s="138"/>
      <x:c r="V127" s="138"/>
      <x:c r="W127" s="138"/>
      <x:c r="X127" s="138"/>
      <x:c r="Y127" s="138"/>
      <x:c r="Z127" s="138"/>
    </x:row>
    <x:row r="128">
      <x:c r="A128" s="138"/>
      <x:c r="B128" s="138"/>
      <x:c r="C128" s="138"/>
      <x:c r="D128" s="138"/>
      <x:c r="E128" s="138"/>
      <x:c r="F128" s="138"/>
      <x:c r="G128" s="138"/>
      <x:c r="H128" s="138"/>
      <x:c r="I128" s="138"/>
      <x:c r="J128" s="138"/>
      <x:c r="K128" s="138"/>
      <x:c r="L128" s="138"/>
      <x:c r="M128" s="138"/>
      <x:c r="N128" s="138"/>
      <x:c r="O128" s="138"/>
      <x:c r="P128" s="138"/>
      <x:c r="Q128" s="138"/>
      <x:c r="R128" s="138"/>
      <x:c r="S128" s="138"/>
      <x:c r="T128" s="138"/>
      <x:c r="U128" s="138"/>
      <x:c r="V128" s="138"/>
      <x:c r="W128" s="138"/>
      <x:c r="X128" s="138"/>
      <x:c r="Y128" s="138"/>
      <x:c r="Z128" s="138"/>
    </x:row>
    <x:row r="129">
      <x:c r="A129" s="138"/>
      <x:c r="B129" s="138"/>
      <x:c r="C129" s="138"/>
      <x:c r="D129" s="138"/>
      <x:c r="E129" s="138"/>
      <x:c r="F129" s="138"/>
      <x:c r="G129" s="138"/>
      <x:c r="H129" s="138"/>
      <x:c r="I129" s="138"/>
      <x:c r="J129" s="138"/>
      <x:c r="K129" s="138"/>
      <x:c r="L129" s="138"/>
      <x:c r="M129" s="138"/>
      <x:c r="N129" s="138"/>
      <x:c r="O129" s="138"/>
      <x:c r="P129" s="138"/>
      <x:c r="Q129" s="138"/>
      <x:c r="R129" s="138"/>
      <x:c r="S129" s="138"/>
      <x:c r="T129" s="138"/>
      <x:c r="U129" s="138"/>
      <x:c r="V129" s="138"/>
      <x:c r="W129" s="138"/>
      <x:c r="X129" s="138"/>
      <x:c r="Y129" s="138"/>
      <x:c r="Z129" s="138"/>
    </x:row>
    <x:row r="130">
      <x:c r="A130" s="138"/>
      <x:c r="B130" s="138"/>
      <x:c r="C130" s="138"/>
      <x:c r="D130" s="138"/>
      <x:c r="E130" s="138"/>
      <x:c r="F130" s="138"/>
      <x:c r="G130" s="138"/>
      <x:c r="H130" s="138"/>
      <x:c r="I130" s="138"/>
      <x:c r="J130" s="138"/>
      <x:c r="K130" s="138"/>
      <x:c r="L130" s="138"/>
      <x:c r="M130" s="138"/>
      <x:c r="N130" s="138"/>
      <x:c r="O130" s="138"/>
      <x:c r="P130" s="138"/>
      <x:c r="Q130" s="138"/>
      <x:c r="R130" s="138"/>
      <x:c r="S130" s="138"/>
      <x:c r="T130" s="138"/>
      <x:c r="U130" s="138"/>
      <x:c r="V130" s="138"/>
      <x:c r="W130" s="138"/>
      <x:c r="X130" s="138"/>
      <x:c r="Y130" s="138"/>
      <x:c r="Z130" s="138"/>
    </x:row>
    <x:row r="131">
      <x:c r="A131" s="138"/>
      <x:c r="B131" s="138"/>
      <x:c r="C131" s="138"/>
      <x:c r="D131" s="138"/>
      <x:c r="E131" s="138"/>
      <x:c r="F131" s="138"/>
      <x:c r="G131" s="138"/>
      <x:c r="H131" s="138"/>
      <x:c r="I131" s="138"/>
      <x:c r="J131" s="138"/>
      <x:c r="K131" s="138"/>
      <x:c r="L131" s="138"/>
      <x:c r="M131" s="138"/>
      <x:c r="N131" s="138"/>
      <x:c r="O131" s="138"/>
      <x:c r="P131" s="138"/>
      <x:c r="Q131" s="138"/>
      <x:c r="R131" s="138"/>
      <x:c r="S131" s="138"/>
      <x:c r="T131" s="138"/>
      <x:c r="U131" s="138"/>
      <x:c r="V131" s="138"/>
      <x:c r="W131" s="138"/>
      <x:c r="X131" s="138"/>
      <x:c r="Y131" s="138"/>
      <x:c r="Z131" s="138"/>
    </x:row>
    <x:row r="132">
      <x:c r="A132" s="138"/>
      <x:c r="B132" s="138"/>
      <x:c r="C132" s="138"/>
      <x:c r="D132" s="138"/>
      <x:c r="E132" s="138"/>
      <x:c r="F132" s="138"/>
      <x:c r="G132" s="138"/>
      <x:c r="H132" s="138"/>
      <x:c r="I132" s="138"/>
      <x:c r="J132" s="138"/>
      <x:c r="K132" s="138"/>
      <x:c r="L132" s="138"/>
      <x:c r="M132" s="138"/>
      <x:c r="N132" s="138"/>
      <x:c r="O132" s="138"/>
      <x:c r="P132" s="138"/>
      <x:c r="Q132" s="138"/>
      <x:c r="R132" s="138"/>
      <x:c r="S132" s="138"/>
      <x:c r="T132" s="138"/>
      <x:c r="U132" s="138"/>
      <x:c r="V132" s="138"/>
      <x:c r="W132" s="138"/>
      <x:c r="X132" s="138"/>
      <x:c r="Y132" s="138"/>
      <x:c r="Z132" s="138"/>
    </x:row>
    <x:row r="133">
      <x:c r="A133" s="138"/>
      <x:c r="B133" s="138"/>
      <x:c r="C133" s="138"/>
      <x:c r="D133" s="138"/>
      <x:c r="E133" s="138"/>
      <x:c r="F133" s="138"/>
      <x:c r="G133" s="138"/>
      <x:c r="H133" s="138"/>
      <x:c r="I133" s="138"/>
      <x:c r="J133" s="138"/>
      <x:c r="K133" s="138"/>
      <x:c r="L133" s="138"/>
      <x:c r="M133" s="138"/>
      <x:c r="N133" s="138"/>
      <x:c r="O133" s="138"/>
      <x:c r="P133" s="138"/>
      <x:c r="Q133" s="138"/>
      <x:c r="R133" s="138"/>
      <x:c r="S133" s="138"/>
      <x:c r="T133" s="138"/>
      <x:c r="U133" s="138"/>
      <x:c r="V133" s="138"/>
      <x:c r="W133" s="138"/>
      <x:c r="X133" s="138"/>
      <x:c r="Y133" s="138"/>
      <x:c r="Z133" s="138"/>
    </x:row>
    <x:row r="134">
      <x:c r="A134" s="138"/>
      <x:c r="B134" s="138"/>
      <x:c r="C134" s="138"/>
      <x:c r="D134" s="138"/>
      <x:c r="E134" s="138"/>
      <x:c r="F134" s="138"/>
      <x:c r="G134" s="138"/>
      <x:c r="H134" s="138"/>
      <x:c r="I134" s="138"/>
      <x:c r="J134" s="138"/>
      <x:c r="K134" s="138"/>
      <x:c r="L134" s="138"/>
      <x:c r="M134" s="138"/>
      <x:c r="N134" s="138"/>
      <x:c r="O134" s="138"/>
      <x:c r="P134" s="138"/>
      <x:c r="Q134" s="138"/>
      <x:c r="R134" s="138"/>
      <x:c r="S134" s="138"/>
      <x:c r="T134" s="138"/>
      <x:c r="U134" s="138"/>
      <x:c r="V134" s="138"/>
      <x:c r="W134" s="138"/>
      <x:c r="X134" s="138"/>
      <x:c r="Y134" s="138"/>
      <x:c r="Z134" s="138"/>
    </x:row>
    <x:row r="135">
      <x:c r="A135" s="138"/>
      <x:c r="B135" s="138"/>
      <x:c r="C135" s="138"/>
      <x:c r="D135" s="138"/>
      <x:c r="E135" s="138"/>
      <x:c r="F135" s="138"/>
      <x:c r="G135" s="138"/>
      <x:c r="H135" s="138"/>
      <x:c r="I135" s="138"/>
      <x:c r="J135" s="138"/>
      <x:c r="K135" s="138"/>
      <x:c r="L135" s="138"/>
      <x:c r="M135" s="138"/>
      <x:c r="N135" s="138"/>
      <x:c r="O135" s="138"/>
      <x:c r="P135" s="138"/>
      <x:c r="Q135" s="138"/>
      <x:c r="R135" s="138"/>
      <x:c r="S135" s="138"/>
      <x:c r="T135" s="138"/>
      <x:c r="U135" s="138"/>
      <x:c r="V135" s="138"/>
      <x:c r="W135" s="138"/>
      <x:c r="X135" s="138"/>
      <x:c r="Y135" s="138"/>
      <x:c r="Z135" s="138"/>
    </x:row>
    <x:row r="136">
      <x:c r="A136" s="138"/>
      <x:c r="B136" s="138"/>
      <x:c r="C136" s="138"/>
      <x:c r="D136" s="138"/>
      <x:c r="E136" s="138"/>
      <x:c r="F136" s="138"/>
      <x:c r="G136" s="138"/>
      <x:c r="H136" s="138"/>
      <x:c r="I136" s="138"/>
      <x:c r="J136" s="138"/>
      <x:c r="K136" s="138"/>
      <x:c r="L136" s="138"/>
      <x:c r="M136" s="138"/>
      <x:c r="N136" s="138"/>
      <x:c r="O136" s="138"/>
      <x:c r="P136" s="138"/>
      <x:c r="Q136" s="138"/>
      <x:c r="R136" s="138"/>
      <x:c r="S136" s="138"/>
      <x:c r="T136" s="138"/>
      <x:c r="U136" s="138"/>
      <x:c r="V136" s="138"/>
      <x:c r="W136" s="138"/>
      <x:c r="X136" s="138"/>
      <x:c r="Y136" s="138"/>
      <x:c r="Z136" s="138"/>
    </x:row>
    <x:row r="137">
      <x:c r="A137" s="138"/>
      <x:c r="B137" s="138"/>
      <x:c r="C137" s="138"/>
      <x:c r="D137" s="138"/>
      <x:c r="E137" s="138"/>
      <x:c r="F137" s="138"/>
      <x:c r="G137" s="138"/>
      <x:c r="H137" s="138"/>
      <x:c r="I137" s="138"/>
      <x:c r="J137" s="138"/>
      <x:c r="K137" s="138"/>
      <x:c r="L137" s="138"/>
      <x:c r="M137" s="138"/>
      <x:c r="N137" s="138"/>
      <x:c r="O137" s="138"/>
      <x:c r="P137" s="138"/>
      <x:c r="Q137" s="138"/>
      <x:c r="R137" s="138"/>
      <x:c r="S137" s="138"/>
      <x:c r="T137" s="138"/>
      <x:c r="U137" s="138"/>
      <x:c r="V137" s="138"/>
      <x:c r="W137" s="138"/>
      <x:c r="X137" s="138"/>
      <x:c r="Y137" s="138"/>
      <x:c r="Z137" s="138"/>
    </x:row>
    <x:row r="138">
      <x:c r="A138" s="138"/>
      <x:c r="B138" s="138"/>
      <x:c r="C138" s="138"/>
      <x:c r="D138" s="138"/>
      <x:c r="E138" s="138"/>
      <x:c r="F138" s="138"/>
      <x:c r="G138" s="138"/>
      <x:c r="H138" s="138"/>
      <x:c r="I138" s="138"/>
      <x:c r="J138" s="138"/>
      <x:c r="K138" s="138"/>
      <x:c r="L138" s="138"/>
      <x:c r="M138" s="138"/>
      <x:c r="N138" s="138"/>
      <x:c r="O138" s="138"/>
      <x:c r="P138" s="138"/>
      <x:c r="Q138" s="138"/>
      <x:c r="R138" s="138"/>
      <x:c r="S138" s="138"/>
      <x:c r="T138" s="138"/>
      <x:c r="U138" s="138"/>
      <x:c r="V138" s="138"/>
      <x:c r="W138" s="138"/>
      <x:c r="X138" s="138"/>
      <x:c r="Y138" s="138"/>
      <x:c r="Z138" s="138"/>
    </x:row>
    <x:row r="139">
      <x:c r="A139" s="138"/>
      <x:c r="B139" s="138"/>
      <x:c r="C139" s="138"/>
      <x:c r="D139" s="138"/>
      <x:c r="E139" s="138"/>
      <x:c r="F139" s="138"/>
      <x:c r="G139" s="138"/>
      <x:c r="H139" s="138"/>
      <x:c r="I139" s="138"/>
      <x:c r="J139" s="138"/>
      <x:c r="K139" s="138"/>
      <x:c r="L139" s="138"/>
      <x:c r="M139" s="138"/>
      <x:c r="N139" s="138"/>
      <x:c r="O139" s="138"/>
      <x:c r="P139" s="138"/>
      <x:c r="Q139" s="138"/>
      <x:c r="R139" s="138"/>
      <x:c r="S139" s="138"/>
      <x:c r="T139" s="138"/>
      <x:c r="U139" s="138"/>
      <x:c r="V139" s="138"/>
      <x:c r="W139" s="138"/>
      <x:c r="X139" s="138"/>
      <x:c r="Y139" s="138"/>
      <x:c r="Z139" s="138"/>
    </x:row>
    <x:row r="140">
      <x:c r="A140" s="138"/>
      <x:c r="B140" s="138"/>
      <x:c r="C140" s="138"/>
      <x:c r="D140" s="138"/>
      <x:c r="E140" s="138"/>
      <x:c r="F140" s="138"/>
      <x:c r="G140" s="138"/>
      <x:c r="H140" s="138"/>
      <x:c r="I140" s="138"/>
      <x:c r="J140" s="138"/>
      <x:c r="K140" s="138"/>
      <x:c r="L140" s="138"/>
      <x:c r="M140" s="138"/>
      <x:c r="N140" s="138"/>
      <x:c r="O140" s="138"/>
      <x:c r="P140" s="138"/>
      <x:c r="Q140" s="138"/>
      <x:c r="R140" s="138"/>
      <x:c r="S140" s="138"/>
      <x:c r="T140" s="138"/>
      <x:c r="U140" s="138"/>
      <x:c r="V140" s="138"/>
      <x:c r="W140" s="138"/>
      <x:c r="X140" s="138"/>
      <x:c r="Y140" s="138"/>
      <x:c r="Z140" s="138"/>
    </x:row>
    <x:row r="141">
      <x:c r="A141" s="138"/>
      <x:c r="B141" s="138"/>
      <x:c r="C141" s="138"/>
      <x:c r="D141" s="138"/>
      <x:c r="E141" s="138"/>
      <x:c r="F141" s="138"/>
      <x:c r="G141" s="138"/>
      <x:c r="H141" s="138"/>
      <x:c r="I141" s="138"/>
      <x:c r="J141" s="138"/>
      <x:c r="K141" s="138"/>
      <x:c r="L141" s="138"/>
      <x:c r="M141" s="138"/>
      <x:c r="N141" s="138"/>
      <x:c r="O141" s="138"/>
      <x:c r="P141" s="138"/>
      <x:c r="Q141" s="138"/>
      <x:c r="R141" s="138"/>
      <x:c r="S141" s="138"/>
      <x:c r="T141" s="138"/>
      <x:c r="U141" s="138"/>
      <x:c r="V141" s="138"/>
      <x:c r="W141" s="138"/>
      <x:c r="X141" s="138"/>
      <x:c r="Y141" s="138"/>
      <x:c r="Z141" s="138"/>
    </x:row>
    <x:row r="142">
      <x:c r="A142" s="138"/>
      <x:c r="B142" s="138"/>
      <x:c r="C142" s="138"/>
      <x:c r="D142" s="138"/>
      <x:c r="E142" s="138"/>
      <x:c r="F142" s="138"/>
      <x:c r="G142" s="138"/>
      <x:c r="H142" s="138"/>
      <x:c r="I142" s="138"/>
      <x:c r="J142" s="138"/>
      <x:c r="K142" s="138"/>
      <x:c r="L142" s="138"/>
      <x:c r="M142" s="138"/>
      <x:c r="N142" s="138"/>
      <x:c r="O142" s="138"/>
      <x:c r="P142" s="138"/>
      <x:c r="Q142" s="138"/>
      <x:c r="R142" s="138"/>
      <x:c r="S142" s="138"/>
      <x:c r="T142" s="138"/>
      <x:c r="U142" s="138"/>
      <x:c r="V142" s="138"/>
      <x:c r="W142" s="138"/>
      <x:c r="X142" s="138"/>
      <x:c r="Y142" s="138"/>
      <x:c r="Z142" s="138"/>
    </x:row>
    <x:row r="143">
      <x:c r="A143" s="138"/>
      <x:c r="B143" s="138"/>
      <x:c r="C143" s="138"/>
      <x:c r="D143" s="138"/>
      <x:c r="E143" s="138"/>
      <x:c r="F143" s="138"/>
      <x:c r="G143" s="138"/>
      <x:c r="H143" s="138"/>
      <x:c r="I143" s="138"/>
      <x:c r="J143" s="138"/>
      <x:c r="K143" s="138"/>
      <x:c r="L143" s="138"/>
      <x:c r="M143" s="138"/>
      <x:c r="N143" s="138"/>
      <x:c r="O143" s="138"/>
      <x:c r="P143" s="138"/>
      <x:c r="Q143" s="138"/>
      <x:c r="R143" s="138"/>
      <x:c r="S143" s="138"/>
      <x:c r="T143" s="138"/>
      <x:c r="U143" s="138"/>
      <x:c r="V143" s="138"/>
      <x:c r="W143" s="138"/>
      <x:c r="X143" s="138"/>
      <x:c r="Y143" s="138"/>
      <x:c r="Z143" s="138"/>
    </x:row>
    <x:row r="144">
      <x:c r="A144" s="138"/>
      <x:c r="B144" s="138"/>
      <x:c r="C144" s="138"/>
      <x:c r="D144" s="138"/>
      <x:c r="E144" s="138"/>
      <x:c r="F144" s="138"/>
      <x:c r="G144" s="138"/>
      <x:c r="H144" s="138"/>
      <x:c r="I144" s="138"/>
      <x:c r="J144" s="138"/>
      <x:c r="K144" s="138"/>
      <x:c r="L144" s="138"/>
      <x:c r="M144" s="138"/>
      <x:c r="N144" s="138"/>
      <x:c r="O144" s="138"/>
      <x:c r="P144" s="138"/>
      <x:c r="Q144" s="138"/>
      <x:c r="R144" s="138"/>
      <x:c r="S144" s="138"/>
      <x:c r="T144" s="138"/>
      <x:c r="U144" s="138"/>
      <x:c r="V144" s="138"/>
      <x:c r="W144" s="138"/>
      <x:c r="X144" s="138"/>
      <x:c r="Y144" s="138"/>
      <x:c r="Z144" s="138"/>
    </x:row>
    <x:row r="145">
      <x:c r="A145" s="138"/>
      <x:c r="B145" s="138"/>
      <x:c r="C145" s="138"/>
      <x:c r="D145" s="138"/>
      <x:c r="E145" s="138"/>
      <x:c r="F145" s="138"/>
      <x:c r="G145" s="138"/>
      <x:c r="H145" s="138"/>
      <x:c r="I145" s="138"/>
      <x:c r="J145" s="138"/>
      <x:c r="K145" s="138"/>
      <x:c r="L145" s="138"/>
      <x:c r="M145" s="138"/>
      <x:c r="N145" s="138"/>
      <x:c r="O145" s="138"/>
      <x:c r="P145" s="138"/>
      <x:c r="Q145" s="138"/>
      <x:c r="R145" s="138"/>
      <x:c r="S145" s="138"/>
      <x:c r="T145" s="138"/>
      <x:c r="U145" s="138"/>
      <x:c r="V145" s="138"/>
      <x:c r="W145" s="138"/>
      <x:c r="X145" s="138"/>
      <x:c r="Y145" s="138"/>
      <x:c r="Z145" s="138"/>
    </x:row>
    <x:row r="146">
      <x:c r="A146" s="138"/>
      <x:c r="B146" s="138"/>
      <x:c r="C146" s="138"/>
      <x:c r="D146" s="138"/>
      <x:c r="E146" s="138"/>
      <x:c r="F146" s="138"/>
      <x:c r="G146" s="138"/>
      <x:c r="H146" s="138"/>
      <x:c r="I146" s="138"/>
      <x:c r="J146" s="138"/>
      <x:c r="K146" s="138"/>
      <x:c r="L146" s="138"/>
      <x:c r="M146" s="138"/>
      <x:c r="N146" s="138"/>
      <x:c r="O146" s="138"/>
      <x:c r="P146" s="138"/>
      <x:c r="Q146" s="138"/>
      <x:c r="R146" s="138"/>
      <x:c r="S146" s="138"/>
      <x:c r="T146" s="138"/>
      <x:c r="U146" s="138"/>
      <x:c r="V146" s="138"/>
      <x:c r="W146" s="138"/>
      <x:c r="X146" s="138"/>
      <x:c r="Y146" s="138"/>
      <x:c r="Z146" s="138"/>
    </x:row>
    <x:row r="147">
      <x:c r="A147" s="138"/>
      <x:c r="B147" s="138"/>
      <x:c r="C147" s="138"/>
      <x:c r="D147" s="138"/>
      <x:c r="E147" s="138"/>
      <x:c r="F147" s="138"/>
      <x:c r="G147" s="138"/>
      <x:c r="H147" s="138"/>
      <x:c r="I147" s="138"/>
      <x:c r="J147" s="138"/>
      <x:c r="K147" s="138"/>
      <x:c r="L147" s="138"/>
      <x:c r="M147" s="138"/>
      <x:c r="N147" s="138"/>
      <x:c r="O147" s="138"/>
      <x:c r="P147" s="138"/>
      <x:c r="Q147" s="138"/>
      <x:c r="R147" s="138"/>
      <x:c r="S147" s="138"/>
      <x:c r="T147" s="138"/>
      <x:c r="U147" s="138"/>
      <x:c r="V147" s="138"/>
      <x:c r="W147" s="138"/>
      <x:c r="X147" s="138"/>
      <x:c r="Y147" s="138"/>
      <x:c r="Z147" s="138"/>
    </x:row>
    <x:row r="148">
      <x:c r="A148" s="138"/>
      <x:c r="B148" s="138"/>
      <x:c r="C148" s="138"/>
      <x:c r="D148" s="138"/>
      <x:c r="E148" s="138"/>
      <x:c r="F148" s="138"/>
      <x:c r="G148" s="138"/>
      <x:c r="H148" s="138"/>
      <x:c r="I148" s="138"/>
      <x:c r="J148" s="138"/>
      <x:c r="K148" s="138"/>
      <x:c r="L148" s="138"/>
      <x:c r="M148" s="138"/>
      <x:c r="N148" s="138"/>
      <x:c r="O148" s="138"/>
      <x:c r="P148" s="138"/>
      <x:c r="Q148" s="138"/>
      <x:c r="R148" s="138"/>
      <x:c r="S148" s="138"/>
      <x:c r="T148" s="138"/>
      <x:c r="U148" s="138"/>
      <x:c r="V148" s="138"/>
      <x:c r="W148" s="138"/>
      <x:c r="X148" s="138"/>
      <x:c r="Y148" s="138"/>
      <x:c r="Z148" s="138"/>
    </x:row>
    <x:row r="149">
      <x:c r="A149" s="138"/>
      <x:c r="B149" s="138"/>
      <x:c r="C149" s="138"/>
      <x:c r="D149" s="138"/>
      <x:c r="E149" s="138"/>
      <x:c r="F149" s="138"/>
      <x:c r="G149" s="138"/>
      <x:c r="H149" s="138"/>
      <x:c r="I149" s="138"/>
      <x:c r="J149" s="138"/>
      <x:c r="K149" s="138"/>
      <x:c r="L149" s="138"/>
      <x:c r="M149" s="138"/>
      <x:c r="N149" s="138"/>
      <x:c r="O149" s="138"/>
      <x:c r="P149" s="138"/>
      <x:c r="Q149" s="138"/>
      <x:c r="R149" s="138"/>
      <x:c r="S149" s="138"/>
      <x:c r="T149" s="138"/>
      <x:c r="U149" s="138"/>
      <x:c r="V149" s="138"/>
      <x:c r="W149" s="138"/>
      <x:c r="X149" s="138"/>
      <x:c r="Y149" s="138"/>
      <x:c r="Z149" s="138"/>
    </x:row>
    <x:row r="150">
      <x:c r="A150" s="138"/>
      <x:c r="B150" s="138"/>
      <x:c r="C150" s="138"/>
      <x:c r="D150" s="138"/>
      <x:c r="E150" s="138"/>
      <x:c r="F150" s="138"/>
      <x:c r="G150" s="138"/>
      <x:c r="H150" s="138"/>
      <x:c r="I150" s="138"/>
      <x:c r="J150" s="138"/>
      <x:c r="K150" s="138"/>
      <x:c r="L150" s="138"/>
      <x:c r="M150" s="138"/>
      <x:c r="N150" s="138"/>
      <x:c r="O150" s="138"/>
      <x:c r="P150" s="138"/>
      <x:c r="Q150" s="138"/>
      <x:c r="R150" s="138"/>
      <x:c r="S150" s="138"/>
      <x:c r="T150" s="138"/>
      <x:c r="U150" s="138"/>
      <x:c r="V150" s="138"/>
      <x:c r="W150" s="138"/>
      <x:c r="X150" s="138"/>
      <x:c r="Y150" s="138"/>
      <x:c r="Z150" s="138"/>
    </x:row>
    <x:row r="151">
      <x:c r="A151" s="138"/>
      <x:c r="B151" s="138"/>
      <x:c r="C151" s="138"/>
      <x:c r="D151" s="138"/>
      <x:c r="E151" s="138"/>
      <x:c r="F151" s="138"/>
      <x:c r="G151" s="138"/>
      <x:c r="H151" s="138"/>
      <x:c r="I151" s="138"/>
      <x:c r="J151" s="138"/>
      <x:c r="K151" s="138"/>
      <x:c r="L151" s="138"/>
      <x:c r="M151" s="138"/>
      <x:c r="N151" s="138"/>
      <x:c r="O151" s="138"/>
      <x:c r="P151" s="138"/>
      <x:c r="Q151" s="138"/>
      <x:c r="R151" s="138"/>
      <x:c r="S151" s="138"/>
      <x:c r="T151" s="138"/>
      <x:c r="U151" s="138"/>
      <x:c r="V151" s="138"/>
      <x:c r="W151" s="138"/>
      <x:c r="X151" s="138"/>
      <x:c r="Y151" s="138"/>
      <x:c r="Z151" s="138"/>
    </x:row>
    <x:row r="152">
      <x:c r="A152" s="138"/>
      <x:c r="B152" s="138"/>
      <x:c r="C152" s="138"/>
      <x:c r="D152" s="138"/>
      <x:c r="E152" s="138"/>
      <x:c r="F152" s="138"/>
      <x:c r="G152" s="138"/>
      <x:c r="H152" s="138"/>
      <x:c r="I152" s="138"/>
      <x:c r="J152" s="138"/>
      <x:c r="K152" s="138"/>
      <x:c r="L152" s="138"/>
      <x:c r="M152" s="138"/>
      <x:c r="N152" s="138"/>
      <x:c r="O152" s="138"/>
      <x:c r="P152" s="138"/>
      <x:c r="Q152" s="138"/>
      <x:c r="R152" s="138"/>
      <x:c r="S152" s="138"/>
      <x:c r="T152" s="138"/>
      <x:c r="U152" s="138"/>
      <x:c r="V152" s="138"/>
      <x:c r="W152" s="138"/>
      <x:c r="X152" s="138"/>
      <x:c r="Y152" s="138"/>
      <x:c r="Z152" s="138"/>
    </x:row>
    <x:row r="153">
      <x:c r="A153" s="138"/>
      <x:c r="B153" s="138"/>
      <x:c r="C153" s="138"/>
      <x:c r="D153" s="138"/>
      <x:c r="E153" s="138"/>
      <x:c r="F153" s="138"/>
      <x:c r="G153" s="138"/>
      <x:c r="H153" s="138"/>
      <x:c r="I153" s="138"/>
      <x:c r="J153" s="138"/>
      <x:c r="K153" s="138"/>
      <x:c r="L153" s="138"/>
      <x:c r="M153" s="138"/>
      <x:c r="N153" s="138"/>
      <x:c r="O153" s="138"/>
      <x:c r="P153" s="138"/>
      <x:c r="Q153" s="138"/>
      <x:c r="R153" s="138"/>
      <x:c r="S153" s="138"/>
      <x:c r="T153" s="138"/>
      <x:c r="U153" s="138"/>
      <x:c r="V153" s="138"/>
      <x:c r="W153" s="138"/>
      <x:c r="X153" s="138"/>
      <x:c r="Y153" s="138"/>
      <x:c r="Z153" s="138"/>
    </x:row>
    <x:row r="154">
      <x:c r="A154" s="138"/>
      <x:c r="B154" s="138"/>
      <x:c r="C154" s="138"/>
      <x:c r="D154" s="138"/>
      <x:c r="E154" s="138"/>
      <x:c r="F154" s="138"/>
      <x:c r="G154" s="138"/>
      <x:c r="H154" s="138"/>
      <x:c r="I154" s="138"/>
      <x:c r="J154" s="138"/>
      <x:c r="K154" s="138"/>
      <x:c r="L154" s="138"/>
      <x:c r="M154" s="138"/>
      <x:c r="N154" s="138"/>
      <x:c r="O154" s="138"/>
      <x:c r="P154" s="138"/>
      <x:c r="Q154" s="138"/>
      <x:c r="R154" s="138"/>
      <x:c r="S154" s="138"/>
      <x:c r="T154" s="138"/>
      <x:c r="U154" s="138"/>
      <x:c r="V154" s="138"/>
      <x:c r="W154" s="138"/>
      <x:c r="X154" s="138"/>
      <x:c r="Y154" s="138"/>
      <x:c r="Z154" s="138"/>
    </x:row>
    <x:row r="155">
      <x:c r="A155" s="138"/>
      <x:c r="B155" s="138"/>
      <x:c r="C155" s="138"/>
      <x:c r="D155" s="138"/>
      <x:c r="E155" s="138"/>
      <x:c r="F155" s="138"/>
      <x:c r="G155" s="138"/>
      <x:c r="H155" s="138"/>
      <x:c r="I155" s="138"/>
      <x:c r="J155" s="138"/>
      <x:c r="K155" s="138"/>
      <x:c r="L155" s="138"/>
      <x:c r="M155" s="138"/>
      <x:c r="N155" s="138"/>
      <x:c r="O155" s="138"/>
      <x:c r="P155" s="138"/>
      <x:c r="Q155" s="138"/>
      <x:c r="R155" s="138"/>
      <x:c r="S155" s="138"/>
      <x:c r="T155" s="138"/>
      <x:c r="U155" s="138"/>
      <x:c r="V155" s="138"/>
      <x:c r="W155" s="138"/>
      <x:c r="X155" s="138"/>
      <x:c r="Y155" s="138"/>
      <x:c r="Z155" s="138"/>
    </x:row>
    <x:row r="156">
      <x:c r="A156" s="138"/>
      <x:c r="B156" s="138"/>
      <x:c r="C156" s="138"/>
      <x:c r="D156" s="138"/>
      <x:c r="E156" s="138"/>
      <x:c r="F156" s="138"/>
      <x:c r="G156" s="138"/>
      <x:c r="H156" s="138"/>
      <x:c r="I156" s="138"/>
      <x:c r="J156" s="138"/>
      <x:c r="K156" s="138"/>
      <x:c r="L156" s="138"/>
      <x:c r="M156" s="138"/>
      <x:c r="N156" s="138"/>
      <x:c r="O156" s="138"/>
      <x:c r="P156" s="138"/>
      <x:c r="Q156" s="138"/>
      <x:c r="R156" s="138"/>
      <x:c r="S156" s="138"/>
      <x:c r="T156" s="138"/>
      <x:c r="U156" s="138"/>
      <x:c r="V156" s="138"/>
      <x:c r="W156" s="138"/>
      <x:c r="X156" s="138"/>
      <x:c r="Y156" s="138"/>
      <x:c r="Z156" s="138"/>
    </x:row>
    <x:row r="157">
      <x:c r="A157" s="138"/>
      <x:c r="B157" s="138"/>
      <x:c r="C157" s="138"/>
      <x:c r="D157" s="138"/>
      <x:c r="E157" s="138"/>
      <x:c r="F157" s="138"/>
      <x:c r="G157" s="138"/>
      <x:c r="H157" s="138"/>
      <x:c r="I157" s="138"/>
      <x:c r="J157" s="138"/>
      <x:c r="K157" s="138"/>
      <x:c r="L157" s="138"/>
      <x:c r="M157" s="138"/>
      <x:c r="N157" s="138"/>
      <x:c r="O157" s="138"/>
      <x:c r="P157" s="138"/>
      <x:c r="Q157" s="138"/>
      <x:c r="R157" s="138"/>
      <x:c r="S157" s="138"/>
      <x:c r="T157" s="138"/>
      <x:c r="U157" s="138"/>
      <x:c r="V157" s="138"/>
      <x:c r="W157" s="138"/>
      <x:c r="X157" s="138"/>
      <x:c r="Y157" s="138"/>
      <x:c r="Z157" s="138"/>
    </x:row>
    <x:row r="158">
      <x:c r="A158" s="138"/>
      <x:c r="B158" s="138"/>
      <x:c r="C158" s="138"/>
      <x:c r="D158" s="138"/>
      <x:c r="E158" s="138"/>
      <x:c r="F158" s="138"/>
      <x:c r="G158" s="138"/>
      <x:c r="H158" s="138"/>
      <x:c r="I158" s="138"/>
      <x:c r="J158" s="138"/>
      <x:c r="K158" s="138"/>
      <x:c r="L158" s="138"/>
      <x:c r="M158" s="138"/>
      <x:c r="N158" s="138"/>
      <x:c r="O158" s="138"/>
      <x:c r="P158" s="138"/>
      <x:c r="Q158" s="138"/>
      <x:c r="R158" s="138"/>
      <x:c r="S158" s="138"/>
      <x:c r="T158" s="138"/>
      <x:c r="U158" s="138"/>
      <x:c r="V158" s="138"/>
      <x:c r="W158" s="138"/>
      <x:c r="X158" s="138"/>
      <x:c r="Y158" s="138"/>
      <x:c r="Z158" s="138"/>
    </x:row>
    <x:row r="159">
      <x:c r="A159" s="138"/>
      <x:c r="B159" s="138"/>
      <x:c r="C159" s="138"/>
      <x:c r="D159" s="138"/>
      <x:c r="E159" s="138"/>
      <x:c r="F159" s="138"/>
      <x:c r="G159" s="138"/>
      <x:c r="H159" s="138"/>
      <x:c r="I159" s="138"/>
      <x:c r="J159" s="138"/>
      <x:c r="K159" s="138"/>
      <x:c r="L159" s="138"/>
      <x:c r="M159" s="138"/>
      <x:c r="N159" s="138"/>
      <x:c r="O159" s="138"/>
      <x:c r="P159" s="138"/>
      <x:c r="Q159" s="138"/>
      <x:c r="R159" s="138"/>
      <x:c r="S159" s="138"/>
      <x:c r="T159" s="138"/>
      <x:c r="U159" s="138"/>
      <x:c r="V159" s="138"/>
      <x:c r="W159" s="138"/>
      <x:c r="X159" s="138"/>
      <x:c r="Y159" s="138"/>
      <x:c r="Z159" s="138"/>
    </x:row>
    <x:row r="160">
      <x:c r="A160" s="138"/>
      <x:c r="B160" s="138"/>
      <x:c r="C160" s="138"/>
      <x:c r="D160" s="138"/>
      <x:c r="E160" s="138"/>
      <x:c r="F160" s="138"/>
      <x:c r="G160" s="138"/>
      <x:c r="H160" s="138"/>
      <x:c r="I160" s="138"/>
      <x:c r="J160" s="138"/>
      <x:c r="K160" s="138"/>
      <x:c r="L160" s="138"/>
      <x:c r="M160" s="138"/>
      <x:c r="N160" s="138"/>
      <x:c r="O160" s="138"/>
      <x:c r="P160" s="138"/>
      <x:c r="Q160" s="138"/>
      <x:c r="R160" s="138"/>
      <x:c r="S160" s="138"/>
      <x:c r="T160" s="138"/>
      <x:c r="U160" s="138"/>
      <x:c r="V160" s="138"/>
      <x:c r="W160" s="138"/>
      <x:c r="X160" s="138"/>
      <x:c r="Y160" s="138"/>
      <x:c r="Z160" s="138"/>
    </x:row>
    <x:row r="161">
      <x:c r="A161" s="138"/>
      <x:c r="B161" s="138"/>
      <x:c r="C161" s="138"/>
      <x:c r="D161" s="138"/>
      <x:c r="E161" s="138"/>
      <x:c r="F161" s="138"/>
      <x:c r="G161" s="138"/>
      <x:c r="H161" s="138"/>
      <x:c r="I161" s="138"/>
      <x:c r="J161" s="138"/>
      <x:c r="K161" s="138"/>
      <x:c r="L161" s="138"/>
      <x:c r="M161" s="138"/>
      <x:c r="N161" s="138"/>
      <x:c r="O161" s="138"/>
      <x:c r="P161" s="138"/>
      <x:c r="Q161" s="138"/>
      <x:c r="R161" s="138"/>
      <x:c r="S161" s="138"/>
      <x:c r="T161" s="138"/>
      <x:c r="U161" s="138"/>
      <x:c r="V161" s="138"/>
      <x:c r="W161" s="138"/>
      <x:c r="X161" s="138"/>
      <x:c r="Y161" s="138"/>
      <x:c r="Z161" s="138"/>
    </x:row>
    <x:row r="162">
      <x:c r="A162" s="138"/>
      <x:c r="B162" s="138"/>
      <x:c r="C162" s="138"/>
      <x:c r="D162" s="138"/>
      <x:c r="E162" s="138"/>
      <x:c r="F162" s="138"/>
      <x:c r="G162" s="138"/>
      <x:c r="H162" s="138"/>
      <x:c r="I162" s="138"/>
      <x:c r="J162" s="138"/>
      <x:c r="K162" s="138"/>
      <x:c r="L162" s="138"/>
      <x:c r="M162" s="138"/>
      <x:c r="N162" s="138"/>
      <x:c r="O162" s="138"/>
      <x:c r="P162" s="138"/>
      <x:c r="Q162" s="138"/>
      <x:c r="R162" s="138"/>
      <x:c r="S162" s="138"/>
      <x:c r="T162" s="138"/>
      <x:c r="U162" s="138"/>
      <x:c r="V162" s="138"/>
      <x:c r="W162" s="138"/>
      <x:c r="X162" s="138"/>
      <x:c r="Y162" s="138"/>
      <x:c r="Z162" s="138"/>
    </x:row>
    <x:row r="163">
      <x:c r="A163" s="138"/>
      <x:c r="B163" s="138"/>
      <x:c r="C163" s="138"/>
      <x:c r="D163" s="138"/>
      <x:c r="E163" s="138"/>
      <x:c r="F163" s="138"/>
      <x:c r="G163" s="138"/>
      <x:c r="H163" s="138"/>
      <x:c r="I163" s="138"/>
      <x:c r="J163" s="138"/>
      <x:c r="K163" s="138"/>
      <x:c r="L163" s="138"/>
      <x:c r="M163" s="138"/>
      <x:c r="N163" s="138"/>
      <x:c r="O163" s="138"/>
      <x:c r="P163" s="138"/>
      <x:c r="Q163" s="138"/>
      <x:c r="R163" s="138"/>
      <x:c r="S163" s="138"/>
      <x:c r="T163" s="138"/>
      <x:c r="U163" s="138"/>
      <x:c r="V163" s="138"/>
      <x:c r="W163" s="138"/>
      <x:c r="X163" s="138"/>
      <x:c r="Y163" s="138"/>
      <x:c r="Z163" s="138"/>
    </x:row>
    <x:row r="164">
      <x:c r="A164" s="138"/>
      <x:c r="B164" s="138"/>
      <x:c r="C164" s="138"/>
      <x:c r="D164" s="138"/>
      <x:c r="E164" s="138"/>
      <x:c r="F164" s="138"/>
      <x:c r="G164" s="138"/>
      <x:c r="H164" s="138"/>
      <x:c r="I164" s="138"/>
      <x:c r="J164" s="138"/>
      <x:c r="K164" s="138"/>
      <x:c r="L164" s="138"/>
      <x:c r="M164" s="138"/>
      <x:c r="N164" s="138"/>
      <x:c r="O164" s="138"/>
      <x:c r="P164" s="138"/>
      <x:c r="Q164" s="138"/>
      <x:c r="R164" s="138"/>
      <x:c r="S164" s="138"/>
      <x:c r="T164" s="138"/>
      <x:c r="U164" s="138"/>
      <x:c r="V164" s="138"/>
      <x:c r="W164" s="138"/>
      <x:c r="X164" s="138"/>
      <x:c r="Y164" s="138"/>
      <x:c r="Z164" s="138"/>
    </x:row>
    <x:row r="165">
      <x:c r="A165" s="138"/>
      <x:c r="B165" s="138"/>
      <x:c r="C165" s="138"/>
      <x:c r="D165" s="138"/>
      <x:c r="E165" s="138"/>
      <x:c r="F165" s="138"/>
      <x:c r="G165" s="138"/>
      <x:c r="H165" s="138"/>
      <x:c r="I165" s="138"/>
      <x:c r="J165" s="138"/>
      <x:c r="K165" s="138"/>
      <x:c r="L165" s="138"/>
      <x:c r="M165" s="138"/>
      <x:c r="N165" s="138"/>
      <x:c r="O165" s="138"/>
      <x:c r="P165" s="138"/>
      <x:c r="Q165" s="138"/>
      <x:c r="R165" s="138"/>
      <x:c r="S165" s="138"/>
      <x:c r="T165" s="138"/>
      <x:c r="U165" s="138"/>
      <x:c r="V165" s="138"/>
      <x:c r="W165" s="138"/>
      <x:c r="X165" s="138"/>
      <x:c r="Y165" s="138"/>
      <x:c r="Z165" s="138"/>
    </x:row>
    <x:row r="166">
      <x:c r="A166" s="138"/>
      <x:c r="B166" s="138"/>
      <x:c r="C166" s="138"/>
      <x:c r="D166" s="138"/>
      <x:c r="E166" s="138"/>
      <x:c r="F166" s="138"/>
      <x:c r="G166" s="138"/>
      <x:c r="H166" s="138"/>
      <x:c r="I166" s="138"/>
      <x:c r="J166" s="138"/>
      <x:c r="K166" s="138"/>
      <x:c r="L166" s="138"/>
      <x:c r="M166" s="138"/>
      <x:c r="N166" s="138"/>
      <x:c r="O166" s="138"/>
      <x:c r="P166" s="138"/>
      <x:c r="Q166" s="138"/>
      <x:c r="R166" s="138"/>
      <x:c r="S166" s="138"/>
      <x:c r="T166" s="138"/>
      <x:c r="U166" s="138"/>
      <x:c r="V166" s="138"/>
      <x:c r="W166" s="138"/>
      <x:c r="X166" s="138"/>
      <x:c r="Y166" s="138"/>
      <x:c r="Z166" s="138"/>
    </x:row>
    <x:row r="167">
      <x:c r="A167" s="138"/>
      <x:c r="B167" s="138"/>
      <x:c r="C167" s="138"/>
      <x:c r="D167" s="138"/>
      <x:c r="E167" s="138"/>
      <x:c r="F167" s="138"/>
      <x:c r="G167" s="138"/>
      <x:c r="H167" s="138"/>
      <x:c r="I167" s="138"/>
      <x:c r="J167" s="138"/>
      <x:c r="K167" s="138"/>
      <x:c r="L167" s="138"/>
      <x:c r="M167" s="138"/>
      <x:c r="N167" s="138"/>
      <x:c r="O167" s="138"/>
      <x:c r="P167" s="138"/>
      <x:c r="Q167" s="138"/>
      <x:c r="R167" s="138"/>
      <x:c r="S167" s="138"/>
      <x:c r="T167" s="138"/>
      <x:c r="U167" s="138"/>
      <x:c r="V167" s="138"/>
      <x:c r="W167" s="138"/>
      <x:c r="X167" s="138"/>
      <x:c r="Y167" s="138"/>
      <x:c r="Z167" s="138"/>
    </x:row>
    <x:row r="168">
      <x:c r="A168" s="138"/>
      <x:c r="B168" s="138"/>
      <x:c r="C168" s="138"/>
      <x:c r="D168" s="138"/>
      <x:c r="E168" s="138"/>
      <x:c r="F168" s="138"/>
      <x:c r="G168" s="138"/>
      <x:c r="H168" s="138"/>
      <x:c r="I168" s="138"/>
      <x:c r="J168" s="138"/>
      <x:c r="K168" s="138"/>
      <x:c r="L168" s="138"/>
      <x:c r="M168" s="138"/>
      <x:c r="N168" s="138"/>
      <x:c r="O168" s="138"/>
      <x:c r="P168" s="138"/>
      <x:c r="Q168" s="138"/>
      <x:c r="R168" s="138"/>
      <x:c r="S168" s="138"/>
      <x:c r="T168" s="138"/>
      <x:c r="U168" s="138"/>
      <x:c r="V168" s="138"/>
      <x:c r="W168" s="138"/>
      <x:c r="X168" s="138"/>
      <x:c r="Y168" s="138"/>
      <x:c r="Z168" s="138"/>
    </x:row>
    <x:row r="169">
      <x:c r="A169" s="138"/>
      <x:c r="B169" s="138"/>
      <x:c r="C169" s="138"/>
      <x:c r="D169" s="138"/>
      <x:c r="E169" s="138"/>
      <x:c r="F169" s="138"/>
      <x:c r="G169" s="138"/>
      <x:c r="H169" s="138"/>
      <x:c r="I169" s="138"/>
      <x:c r="J169" s="138"/>
      <x:c r="K169" s="138"/>
      <x:c r="L169" s="138"/>
      <x:c r="M169" s="138"/>
      <x:c r="N169" s="138"/>
      <x:c r="O169" s="138"/>
      <x:c r="P169" s="138"/>
      <x:c r="Q169" s="138"/>
      <x:c r="R169" s="138"/>
      <x:c r="S169" s="138"/>
      <x:c r="T169" s="138"/>
      <x:c r="U169" s="138"/>
      <x:c r="V169" s="138"/>
      <x:c r="W169" s="138"/>
      <x:c r="X169" s="138"/>
      <x:c r="Y169" s="138"/>
      <x:c r="Z169" s="138"/>
    </x:row>
    <x:row r="170">
      <x:c r="A170" s="138"/>
      <x:c r="B170" s="138"/>
      <x:c r="C170" s="138"/>
      <x:c r="D170" s="138"/>
      <x:c r="E170" s="138"/>
      <x:c r="F170" s="138"/>
      <x:c r="G170" s="138"/>
      <x:c r="H170" s="138"/>
      <x:c r="I170" s="138"/>
      <x:c r="J170" s="138"/>
      <x:c r="K170" s="138"/>
      <x:c r="L170" s="138"/>
      <x:c r="M170" s="138"/>
      <x:c r="N170" s="138"/>
      <x:c r="O170" s="138"/>
      <x:c r="P170" s="138"/>
      <x:c r="Q170" s="138"/>
      <x:c r="R170" s="138"/>
      <x:c r="S170" s="138"/>
      <x:c r="T170" s="138"/>
      <x:c r="U170" s="138"/>
      <x:c r="V170" s="138"/>
      <x:c r="W170" s="138"/>
      <x:c r="X170" s="138"/>
      <x:c r="Y170" s="138"/>
      <x:c r="Z170" s="138"/>
    </x:row>
    <x:row r="171">
      <x:c r="A171" s="138"/>
      <x:c r="B171" s="138"/>
      <x:c r="C171" s="138"/>
      <x:c r="D171" s="138"/>
      <x:c r="E171" s="138"/>
      <x:c r="F171" s="138"/>
      <x:c r="G171" s="138"/>
      <x:c r="H171" s="138"/>
      <x:c r="I171" s="138"/>
      <x:c r="J171" s="138"/>
      <x:c r="K171" s="138"/>
      <x:c r="L171" s="138"/>
      <x:c r="M171" s="138"/>
      <x:c r="N171" s="138"/>
      <x:c r="O171" s="138"/>
      <x:c r="P171" s="138"/>
      <x:c r="Q171" s="138"/>
      <x:c r="R171" s="138"/>
      <x:c r="S171" s="138"/>
      <x:c r="T171" s="138"/>
      <x:c r="U171" s="138"/>
      <x:c r="V171" s="138"/>
      <x:c r="W171" s="138"/>
      <x:c r="X171" s="138"/>
      <x:c r="Y171" s="138"/>
      <x:c r="Z171" s="138"/>
    </x:row>
    <x:row r="172">
      <x:c r="A172" s="138"/>
      <x:c r="B172" s="138"/>
      <x:c r="C172" s="138"/>
      <x:c r="D172" s="138"/>
      <x:c r="E172" s="138"/>
      <x:c r="F172" s="138"/>
      <x:c r="G172" s="138"/>
      <x:c r="H172" s="138"/>
      <x:c r="I172" s="138"/>
      <x:c r="J172" s="138"/>
      <x:c r="K172" s="138"/>
      <x:c r="L172" s="138"/>
      <x:c r="M172" s="138"/>
      <x:c r="N172" s="138"/>
      <x:c r="O172" s="138"/>
      <x:c r="P172" s="138"/>
      <x:c r="Q172" s="138"/>
      <x:c r="R172" s="138"/>
      <x:c r="S172" s="138"/>
      <x:c r="T172" s="138"/>
      <x:c r="U172" s="138"/>
      <x:c r="V172" s="138"/>
      <x:c r="W172" s="138"/>
      <x:c r="X172" s="138"/>
      <x:c r="Y172" s="138"/>
      <x:c r="Z172" s="138"/>
    </x:row>
    <x:row r="173">
      <x:c r="A173" s="138"/>
      <x:c r="B173" s="138"/>
      <x:c r="C173" s="138"/>
      <x:c r="D173" s="138"/>
      <x:c r="E173" s="138"/>
      <x:c r="F173" s="138"/>
      <x:c r="G173" s="138"/>
      <x:c r="H173" s="138"/>
      <x:c r="I173" s="138"/>
      <x:c r="J173" s="138"/>
      <x:c r="K173" s="138"/>
      <x:c r="L173" s="138"/>
      <x:c r="M173" s="138"/>
      <x:c r="N173" s="138"/>
      <x:c r="O173" s="138"/>
      <x:c r="P173" s="138"/>
      <x:c r="Q173" s="138"/>
      <x:c r="R173" s="138"/>
      <x:c r="S173" s="138"/>
      <x:c r="T173" s="138"/>
      <x:c r="U173" s="138"/>
      <x:c r="V173" s="138"/>
      <x:c r="W173" s="138"/>
      <x:c r="X173" s="138"/>
      <x:c r="Y173" s="138"/>
      <x:c r="Z173" s="138"/>
    </x:row>
    <x:row r="174">
      <x:c r="A174" s="138"/>
      <x:c r="B174" s="138"/>
      <x:c r="C174" s="138"/>
      <x:c r="D174" s="138"/>
      <x:c r="E174" s="138"/>
      <x:c r="F174" s="138"/>
      <x:c r="G174" s="138"/>
      <x:c r="H174" s="138"/>
      <x:c r="I174" s="138"/>
      <x:c r="J174" s="138"/>
      <x:c r="K174" s="138"/>
      <x:c r="L174" s="138"/>
      <x:c r="M174" s="138"/>
      <x:c r="N174" s="138"/>
      <x:c r="O174" s="138"/>
      <x:c r="P174" s="138"/>
      <x:c r="Q174" s="138"/>
      <x:c r="R174" s="138"/>
      <x:c r="S174" s="138"/>
      <x:c r="T174" s="138"/>
      <x:c r="U174" s="138"/>
      <x:c r="V174" s="138"/>
      <x:c r="W174" s="138"/>
      <x:c r="X174" s="138"/>
      <x:c r="Y174" s="138"/>
      <x:c r="Z174" s="138"/>
    </x:row>
    <x:row r="175">
      <x:c r="A175" s="138"/>
      <x:c r="B175" s="138"/>
      <x:c r="C175" s="138"/>
      <x:c r="D175" s="138"/>
      <x:c r="E175" s="138"/>
      <x:c r="F175" s="138"/>
      <x:c r="G175" s="138"/>
      <x:c r="H175" s="138"/>
      <x:c r="I175" s="138"/>
      <x:c r="J175" s="138"/>
      <x:c r="K175" s="138"/>
      <x:c r="L175" s="138"/>
      <x:c r="M175" s="138"/>
      <x:c r="N175" s="138"/>
      <x:c r="O175" s="138"/>
      <x:c r="P175" s="138"/>
      <x:c r="Q175" s="138"/>
      <x:c r="R175" s="138"/>
      <x:c r="S175" s="138"/>
      <x:c r="T175" s="138"/>
      <x:c r="U175" s="138"/>
      <x:c r="V175" s="138"/>
      <x:c r="W175" s="138"/>
      <x:c r="X175" s="138"/>
      <x:c r="Y175" s="138"/>
      <x:c r="Z175" s="138"/>
    </x:row>
    <x:row r="176">
      <x:c r="A176" s="138"/>
      <x:c r="B176" s="138"/>
      <x:c r="C176" s="138"/>
      <x:c r="D176" s="138"/>
      <x:c r="E176" s="138"/>
      <x:c r="F176" s="138"/>
      <x:c r="G176" s="138"/>
      <x:c r="H176" s="138"/>
      <x:c r="I176" s="138"/>
      <x:c r="J176" s="138"/>
      <x:c r="K176" s="138"/>
      <x:c r="L176" s="138"/>
      <x:c r="M176" s="138"/>
      <x:c r="N176" s="138"/>
      <x:c r="O176" s="138"/>
      <x:c r="P176" s="138"/>
      <x:c r="Q176" s="138"/>
      <x:c r="R176" s="138"/>
      <x:c r="S176" s="138"/>
      <x:c r="T176" s="138"/>
      <x:c r="U176" s="138"/>
      <x:c r="V176" s="138"/>
      <x:c r="W176" s="138"/>
      <x:c r="X176" s="138"/>
      <x:c r="Y176" s="138"/>
      <x:c r="Z176" s="138"/>
    </x:row>
    <x:row r="177">
      <x:c r="A177" s="138"/>
      <x:c r="B177" s="138"/>
      <x:c r="C177" s="138"/>
      <x:c r="D177" s="138"/>
      <x:c r="E177" s="138"/>
      <x:c r="F177" s="138"/>
      <x:c r="G177" s="138"/>
      <x:c r="H177" s="138"/>
      <x:c r="I177" s="138"/>
      <x:c r="J177" s="138"/>
      <x:c r="K177" s="138"/>
      <x:c r="L177" s="138"/>
      <x:c r="M177" s="138"/>
      <x:c r="N177" s="138"/>
      <x:c r="O177" s="138"/>
      <x:c r="P177" s="138"/>
      <x:c r="Q177" s="138"/>
      <x:c r="R177" s="138"/>
      <x:c r="S177" s="138"/>
      <x:c r="T177" s="138"/>
      <x:c r="U177" s="138"/>
      <x:c r="V177" s="138"/>
      <x:c r="W177" s="138"/>
      <x:c r="X177" s="138"/>
      <x:c r="Y177" s="138"/>
      <x:c r="Z177" s="138"/>
    </x:row>
    <x:row r="178">
      <x:c r="A178" s="138"/>
      <x:c r="B178" s="138"/>
      <x:c r="C178" s="138"/>
      <x:c r="D178" s="138"/>
      <x:c r="E178" s="138"/>
      <x:c r="F178" s="138"/>
      <x:c r="G178" s="138"/>
      <x:c r="H178" s="138"/>
      <x:c r="I178" s="138"/>
      <x:c r="J178" s="138"/>
      <x:c r="K178" s="138"/>
      <x:c r="L178" s="138"/>
      <x:c r="M178" s="138"/>
      <x:c r="N178" s="138"/>
      <x:c r="O178" s="138"/>
      <x:c r="P178" s="138"/>
      <x:c r="Q178" s="138"/>
      <x:c r="R178" s="138"/>
      <x:c r="S178" s="138"/>
      <x:c r="T178" s="138"/>
      <x:c r="U178" s="138"/>
      <x:c r="V178" s="138"/>
      <x:c r="W178" s="138"/>
      <x:c r="X178" s="138"/>
      <x:c r="Y178" s="138"/>
      <x:c r="Z178" s="138"/>
    </x:row>
    <x:row r="179">
      <x:c r="A179" s="138"/>
      <x:c r="B179" s="138"/>
      <x:c r="C179" s="138"/>
      <x:c r="D179" s="138"/>
      <x:c r="E179" s="138"/>
      <x:c r="F179" s="138"/>
      <x:c r="G179" s="138"/>
      <x:c r="H179" s="138"/>
      <x:c r="I179" s="138"/>
      <x:c r="J179" s="138"/>
      <x:c r="K179" s="138"/>
      <x:c r="L179" s="138"/>
      <x:c r="M179" s="138"/>
      <x:c r="N179" s="138"/>
      <x:c r="O179" s="138"/>
      <x:c r="P179" s="138"/>
      <x:c r="Q179" s="138"/>
      <x:c r="R179" s="138"/>
      <x:c r="S179" s="138"/>
      <x:c r="T179" s="138"/>
      <x:c r="U179" s="138"/>
      <x:c r="V179" s="138"/>
      <x:c r="W179" s="138"/>
      <x:c r="X179" s="138"/>
      <x:c r="Y179" s="138"/>
      <x:c r="Z179" s="138"/>
    </x:row>
    <x:row r="180">
      <x:c r="A180" s="138"/>
      <x:c r="B180" s="138"/>
      <x:c r="C180" s="138"/>
      <x:c r="D180" s="138"/>
      <x:c r="E180" s="138"/>
      <x:c r="F180" s="138"/>
      <x:c r="G180" s="138"/>
      <x:c r="H180" s="138"/>
      <x:c r="I180" s="138"/>
      <x:c r="J180" s="138"/>
      <x:c r="K180" s="138"/>
      <x:c r="L180" s="138"/>
      <x:c r="M180" s="138"/>
      <x:c r="N180" s="138"/>
      <x:c r="O180" s="138"/>
      <x:c r="P180" s="138"/>
      <x:c r="Q180" s="138"/>
      <x:c r="R180" s="138"/>
      <x:c r="S180" s="138"/>
      <x:c r="T180" s="138"/>
      <x:c r="U180" s="138"/>
      <x:c r="V180" s="138"/>
      <x:c r="W180" s="138"/>
      <x:c r="X180" s="138"/>
      <x:c r="Y180" s="138"/>
      <x:c r="Z180" s="138"/>
    </x:row>
    <x:row r="181">
      <x:c r="A181" s="138"/>
      <x:c r="B181" s="138"/>
      <x:c r="C181" s="138"/>
      <x:c r="D181" s="138"/>
      <x:c r="E181" s="138"/>
      <x:c r="F181" s="138"/>
      <x:c r="G181" s="138"/>
      <x:c r="H181" s="138"/>
      <x:c r="I181" s="138"/>
      <x:c r="J181" s="138"/>
      <x:c r="K181" s="138"/>
      <x:c r="L181" s="138"/>
      <x:c r="M181" s="138"/>
      <x:c r="N181" s="138"/>
      <x:c r="O181" s="138"/>
      <x:c r="P181" s="138"/>
      <x:c r="Q181" s="138"/>
      <x:c r="R181" s="138"/>
      <x:c r="S181" s="138"/>
      <x:c r="T181" s="138"/>
      <x:c r="U181" s="138"/>
      <x:c r="V181" s="138"/>
      <x:c r="W181" s="138"/>
      <x:c r="X181" s="138"/>
      <x:c r="Y181" s="138"/>
      <x:c r="Z181" s="138"/>
    </x:row>
    <x:row r="182">
      <x:c r="A182" s="138"/>
      <x:c r="B182" s="138"/>
      <x:c r="C182" s="138"/>
      <x:c r="D182" s="138"/>
      <x:c r="E182" s="138"/>
      <x:c r="F182" s="138"/>
      <x:c r="G182" s="138"/>
      <x:c r="H182" s="138"/>
      <x:c r="I182" s="138"/>
      <x:c r="J182" s="138"/>
      <x:c r="K182" s="138"/>
      <x:c r="L182" s="138"/>
      <x:c r="M182" s="138"/>
      <x:c r="N182" s="138"/>
      <x:c r="O182" s="138"/>
      <x:c r="P182" s="138"/>
      <x:c r="Q182" s="138"/>
      <x:c r="R182" s="138"/>
      <x:c r="S182" s="138"/>
      <x:c r="T182" s="138"/>
      <x:c r="U182" s="138"/>
      <x:c r="V182" s="138"/>
      <x:c r="W182" s="138"/>
      <x:c r="X182" s="138"/>
      <x:c r="Y182" s="138"/>
      <x:c r="Z182" s="138"/>
    </x:row>
    <x:row r="183">
      <x:c r="A183" s="138"/>
      <x:c r="B183" s="138"/>
      <x:c r="C183" s="138"/>
      <x:c r="D183" s="138"/>
      <x:c r="E183" s="138"/>
      <x:c r="F183" s="138"/>
      <x:c r="G183" s="138"/>
      <x:c r="H183" s="138"/>
      <x:c r="I183" s="138"/>
      <x:c r="J183" s="138"/>
      <x:c r="K183" s="138"/>
      <x:c r="L183" s="138"/>
      <x:c r="M183" s="138"/>
      <x:c r="N183" s="138"/>
      <x:c r="O183" s="138"/>
      <x:c r="P183" s="138"/>
      <x:c r="Q183" s="138"/>
      <x:c r="R183" s="138"/>
      <x:c r="S183" s="138"/>
      <x:c r="T183" s="138"/>
      <x:c r="U183" s="138"/>
      <x:c r="V183" s="138"/>
      <x:c r="W183" s="138"/>
      <x:c r="X183" s="138"/>
      <x:c r="Y183" s="138"/>
      <x:c r="Z183" s="138"/>
    </x:row>
    <x:row r="184">
      <x:c r="A184" s="138"/>
      <x:c r="B184" s="138"/>
      <x:c r="C184" s="138"/>
      <x:c r="D184" s="138"/>
      <x:c r="E184" s="138"/>
      <x:c r="F184" s="138"/>
      <x:c r="G184" s="138"/>
      <x:c r="H184" s="138"/>
      <x:c r="I184" s="138"/>
      <x:c r="J184" s="138"/>
      <x:c r="K184" s="138"/>
      <x:c r="L184" s="138"/>
      <x:c r="M184" s="138"/>
      <x:c r="N184" s="138"/>
      <x:c r="O184" s="138"/>
      <x:c r="P184" s="138"/>
      <x:c r="Q184" s="138"/>
      <x:c r="R184" s="138"/>
      <x:c r="S184" s="138"/>
      <x:c r="T184" s="138"/>
      <x:c r="U184" s="138"/>
      <x:c r="V184" s="138"/>
      <x:c r="W184" s="138"/>
      <x:c r="X184" s="138"/>
      <x:c r="Y184" s="138"/>
      <x:c r="Z184" s="138"/>
    </x:row>
    <x:row r="185">
      <x:c r="A185" s="138"/>
      <x:c r="B185" s="138"/>
      <x:c r="C185" s="138"/>
      <x:c r="D185" s="138"/>
      <x:c r="E185" s="138"/>
      <x:c r="F185" s="138"/>
      <x:c r="G185" s="138"/>
      <x:c r="H185" s="138"/>
      <x:c r="I185" s="138"/>
      <x:c r="J185" s="138"/>
      <x:c r="K185" s="138"/>
      <x:c r="L185" s="138"/>
      <x:c r="M185" s="138"/>
      <x:c r="N185" s="138"/>
      <x:c r="O185" s="138"/>
      <x:c r="P185" s="138"/>
      <x:c r="Q185" s="138"/>
      <x:c r="R185" s="138"/>
      <x:c r="S185" s="138"/>
      <x:c r="T185" s="138"/>
      <x:c r="U185" s="138"/>
      <x:c r="V185" s="138"/>
      <x:c r="W185" s="138"/>
      <x:c r="X185" s="138"/>
      <x:c r="Y185" s="138"/>
      <x:c r="Z185" s="138"/>
    </x:row>
    <x:row r="186">
      <x:c r="A186" s="138"/>
      <x:c r="B186" s="138"/>
      <x:c r="C186" s="138"/>
      <x:c r="D186" s="138"/>
      <x:c r="E186" s="138"/>
      <x:c r="F186" s="138"/>
      <x:c r="G186" s="138"/>
      <x:c r="H186" s="138"/>
      <x:c r="I186" s="138"/>
      <x:c r="J186" s="138"/>
      <x:c r="K186" s="138"/>
      <x:c r="L186" s="138"/>
      <x:c r="M186" s="138"/>
      <x:c r="N186" s="138"/>
      <x:c r="O186" s="138"/>
      <x:c r="P186" s="138"/>
      <x:c r="Q186" s="138"/>
      <x:c r="R186" s="138"/>
      <x:c r="S186" s="138"/>
      <x:c r="T186" s="138"/>
      <x:c r="U186" s="138"/>
      <x:c r="V186" s="138"/>
      <x:c r="W186" s="138"/>
      <x:c r="X186" s="138"/>
      <x:c r="Y186" s="138"/>
      <x:c r="Z186" s="138"/>
    </x:row>
    <x:row r="187">
      <x:c r="A187" s="138"/>
      <x:c r="B187" s="138"/>
      <x:c r="C187" s="138"/>
      <x:c r="D187" s="138"/>
      <x:c r="E187" s="138"/>
      <x:c r="F187" s="138"/>
      <x:c r="G187" s="138"/>
      <x:c r="H187" s="138"/>
      <x:c r="I187" s="138"/>
      <x:c r="J187" s="138"/>
      <x:c r="K187" s="138"/>
      <x:c r="L187" s="138"/>
      <x:c r="M187" s="138"/>
      <x:c r="N187" s="138"/>
      <x:c r="O187" s="138"/>
      <x:c r="P187" s="138"/>
      <x:c r="Q187" s="138"/>
      <x:c r="R187" s="138"/>
      <x:c r="S187" s="138"/>
      <x:c r="T187" s="138"/>
      <x:c r="U187" s="138"/>
      <x:c r="V187" s="138"/>
      <x:c r="W187" s="138"/>
      <x:c r="X187" s="138"/>
      <x:c r="Y187" s="138"/>
      <x:c r="Z187" s="138"/>
    </x:row>
    <x:row r="188">
      <x:c r="A188" s="138"/>
      <x:c r="B188" s="138"/>
      <x:c r="C188" s="138"/>
      <x:c r="D188" s="138"/>
      <x:c r="E188" s="138"/>
      <x:c r="F188" s="138"/>
      <x:c r="G188" s="138"/>
      <x:c r="H188" s="138"/>
      <x:c r="I188" s="138"/>
      <x:c r="J188" s="138"/>
      <x:c r="K188" s="138"/>
      <x:c r="L188" s="138"/>
      <x:c r="M188" s="138"/>
      <x:c r="N188" s="138"/>
      <x:c r="O188" s="138"/>
      <x:c r="P188" s="138"/>
      <x:c r="Q188" s="138"/>
      <x:c r="R188" s="138"/>
      <x:c r="S188" s="138"/>
      <x:c r="T188" s="138"/>
      <x:c r="U188" s="138"/>
      <x:c r="V188" s="138"/>
      <x:c r="W188" s="138"/>
      <x:c r="X188" s="138"/>
      <x:c r="Y188" s="138"/>
      <x:c r="Z188" s="138"/>
    </x:row>
    <x:row r="189">
      <x:c r="A189" s="138"/>
      <x:c r="B189" s="138"/>
      <x:c r="C189" s="138"/>
      <x:c r="D189" s="138"/>
      <x:c r="E189" s="138"/>
      <x:c r="F189" s="138"/>
      <x:c r="G189" s="138"/>
      <x:c r="H189" s="138"/>
      <x:c r="I189" s="138"/>
      <x:c r="J189" s="138"/>
      <x:c r="K189" s="138"/>
      <x:c r="L189" s="138"/>
      <x:c r="M189" s="138"/>
      <x:c r="N189" s="138"/>
      <x:c r="O189" s="138"/>
      <x:c r="P189" s="138"/>
      <x:c r="Q189" s="138"/>
      <x:c r="R189" s="138"/>
      <x:c r="S189" s="138"/>
      <x:c r="T189" s="138"/>
      <x:c r="U189" s="138"/>
      <x:c r="V189" s="138"/>
      <x:c r="W189" s="138"/>
      <x:c r="X189" s="138"/>
      <x:c r="Y189" s="138"/>
      <x:c r="Z189" s="138"/>
    </x:row>
    <x:row r="190">
      <x:c r="A190" s="138"/>
      <x:c r="B190" s="138"/>
      <x:c r="C190" s="138"/>
      <x:c r="D190" s="138"/>
      <x:c r="E190" s="138"/>
      <x:c r="F190" s="138"/>
      <x:c r="G190" s="138"/>
      <x:c r="H190" s="138"/>
      <x:c r="I190" s="138"/>
      <x:c r="J190" s="138"/>
      <x:c r="K190" s="138"/>
      <x:c r="L190" s="138"/>
      <x:c r="M190" s="138"/>
      <x:c r="N190" s="138"/>
      <x:c r="O190" s="138"/>
      <x:c r="P190" s="138"/>
      <x:c r="Q190" s="138"/>
      <x:c r="R190" s="138"/>
      <x:c r="S190" s="138"/>
      <x:c r="T190" s="138"/>
      <x:c r="U190" s="138"/>
      <x:c r="V190" s="138"/>
      <x:c r="W190" s="138"/>
      <x:c r="X190" s="138"/>
      <x:c r="Y190" s="138"/>
      <x:c r="Z190" s="138"/>
    </x:row>
    <x:row r="191">
      <x:c r="A191" s="138"/>
      <x:c r="B191" s="138"/>
      <x:c r="C191" s="138"/>
      <x:c r="D191" s="138"/>
      <x:c r="E191" s="138"/>
      <x:c r="F191" s="138"/>
      <x:c r="G191" s="138"/>
      <x:c r="H191" s="138"/>
      <x:c r="I191" s="138"/>
      <x:c r="J191" s="138"/>
      <x:c r="K191" s="138"/>
      <x:c r="L191" s="138"/>
      <x:c r="M191" s="138"/>
      <x:c r="N191" s="138"/>
      <x:c r="O191" s="138"/>
      <x:c r="P191" s="138"/>
      <x:c r="Q191" s="138"/>
      <x:c r="R191" s="138"/>
      <x:c r="S191" s="138"/>
      <x:c r="T191" s="138"/>
      <x:c r="U191" s="138"/>
      <x:c r="V191" s="138"/>
      <x:c r="W191" s="138"/>
      <x:c r="X191" s="138"/>
      <x:c r="Y191" s="138"/>
      <x:c r="Z191" s="138"/>
    </x:row>
    <x:row r="192">
      <x:c r="A192" s="138"/>
      <x:c r="B192" s="138"/>
      <x:c r="C192" s="138"/>
      <x:c r="D192" s="138"/>
      <x:c r="E192" s="138"/>
      <x:c r="F192" s="138"/>
      <x:c r="G192" s="138"/>
      <x:c r="H192" s="138"/>
      <x:c r="I192" s="138"/>
      <x:c r="J192" s="138"/>
      <x:c r="K192" s="138"/>
      <x:c r="L192" s="138"/>
      <x:c r="M192" s="138"/>
      <x:c r="N192" s="138"/>
      <x:c r="O192" s="138"/>
      <x:c r="P192" s="138"/>
      <x:c r="Q192" s="138"/>
      <x:c r="R192" s="138"/>
      <x:c r="S192" s="138"/>
      <x:c r="T192" s="138"/>
      <x:c r="U192" s="138"/>
      <x:c r="V192" s="138"/>
      <x:c r="W192" s="138"/>
      <x:c r="X192" s="138"/>
      <x:c r="Y192" s="138"/>
      <x:c r="Z192" s="138"/>
    </x:row>
    <x:row r="193">
      <x:c r="A193" s="138"/>
      <x:c r="B193" s="138"/>
      <x:c r="C193" s="138"/>
      <x:c r="D193" s="138"/>
      <x:c r="E193" s="138"/>
      <x:c r="F193" s="138"/>
      <x:c r="G193" s="138"/>
      <x:c r="H193" s="138"/>
      <x:c r="I193" s="138"/>
      <x:c r="J193" s="138"/>
      <x:c r="K193" s="138"/>
      <x:c r="L193" s="138"/>
      <x:c r="M193" s="138"/>
      <x:c r="N193" s="138"/>
      <x:c r="O193" s="138"/>
      <x:c r="P193" s="138"/>
      <x:c r="Q193" s="138"/>
      <x:c r="R193" s="138"/>
      <x:c r="S193" s="138"/>
      <x:c r="T193" s="138"/>
      <x:c r="U193" s="138"/>
      <x:c r="V193" s="138"/>
      <x:c r="W193" s="138"/>
      <x:c r="X193" s="138"/>
      <x:c r="Y193" s="138"/>
      <x:c r="Z193" s="138"/>
    </x:row>
    <x:row r="194">
      <x:c r="A194" s="138"/>
      <x:c r="B194" s="138"/>
      <x:c r="C194" s="138"/>
      <x:c r="D194" s="138"/>
      <x:c r="E194" s="138"/>
      <x:c r="F194" s="138"/>
      <x:c r="G194" s="138"/>
      <x:c r="H194" s="138"/>
      <x:c r="I194" s="138"/>
      <x:c r="J194" s="138"/>
      <x:c r="K194" s="138"/>
      <x:c r="L194" s="138"/>
      <x:c r="M194" s="138"/>
      <x:c r="N194" s="138"/>
      <x:c r="O194" s="138"/>
      <x:c r="P194" s="138"/>
      <x:c r="Q194" s="138"/>
      <x:c r="R194" s="138"/>
      <x:c r="S194" s="138"/>
      <x:c r="T194" s="138"/>
      <x:c r="U194" s="138"/>
      <x:c r="V194" s="138"/>
      <x:c r="W194" s="138"/>
      <x:c r="X194" s="138"/>
      <x:c r="Y194" s="138"/>
      <x:c r="Z194" s="138"/>
    </x:row>
    <x:row r="195">
      <x:c r="A195" s="138"/>
      <x:c r="B195" s="138"/>
      <x:c r="C195" s="138"/>
      <x:c r="D195" s="138"/>
      <x:c r="E195" s="138"/>
      <x:c r="F195" s="138"/>
      <x:c r="G195" s="138"/>
      <x:c r="H195" s="138"/>
      <x:c r="I195" s="138"/>
      <x:c r="J195" s="138"/>
      <x:c r="K195" s="138"/>
      <x:c r="L195" s="138"/>
      <x:c r="M195" s="138"/>
      <x:c r="N195" s="138"/>
      <x:c r="O195" s="138"/>
      <x:c r="P195" s="138"/>
      <x:c r="Q195" s="138"/>
      <x:c r="R195" s="138"/>
      <x:c r="S195" s="138"/>
      <x:c r="T195" s="138"/>
      <x:c r="U195" s="138"/>
      <x:c r="V195" s="138"/>
      <x:c r="W195" s="138"/>
      <x:c r="X195" s="138"/>
      <x:c r="Y195" s="138"/>
      <x:c r="Z195" s="138"/>
    </x:row>
    <x:row r="196">
      <x:c r="A196" s="138"/>
      <x:c r="B196" s="138"/>
      <x:c r="C196" s="138"/>
      <x:c r="D196" s="138"/>
      <x:c r="E196" s="138"/>
      <x:c r="F196" s="138"/>
      <x:c r="G196" s="138"/>
      <x:c r="H196" s="138"/>
      <x:c r="I196" s="138"/>
      <x:c r="J196" s="138"/>
      <x:c r="K196" s="138"/>
      <x:c r="L196" s="138"/>
      <x:c r="M196" s="138"/>
      <x:c r="N196" s="138"/>
      <x:c r="O196" s="138"/>
      <x:c r="P196" s="138"/>
      <x:c r="Q196" s="138"/>
      <x:c r="R196" s="138"/>
      <x:c r="S196" s="138"/>
      <x:c r="T196" s="138"/>
      <x:c r="U196" s="138"/>
      <x:c r="V196" s="138"/>
      <x:c r="W196" s="138"/>
      <x:c r="X196" s="138"/>
      <x:c r="Y196" s="138"/>
      <x:c r="Z196" s="138"/>
    </x:row>
    <x:row r="197">
      <x:c r="A197" s="138"/>
      <x:c r="B197" s="138"/>
      <x:c r="C197" s="138"/>
      <x:c r="D197" s="138"/>
      <x:c r="E197" s="138"/>
      <x:c r="F197" s="138"/>
      <x:c r="G197" s="138"/>
      <x:c r="H197" s="138"/>
      <x:c r="I197" s="138"/>
      <x:c r="J197" s="138"/>
      <x:c r="K197" s="138"/>
      <x:c r="L197" s="138"/>
      <x:c r="M197" s="138"/>
      <x:c r="N197" s="138"/>
      <x:c r="O197" s="138"/>
      <x:c r="P197" s="138"/>
      <x:c r="Q197" s="138"/>
      <x:c r="R197" s="138"/>
      <x:c r="S197" s="138"/>
      <x:c r="T197" s="138"/>
      <x:c r="U197" s="138"/>
      <x:c r="V197" s="138"/>
      <x:c r="W197" s="138"/>
      <x:c r="X197" s="138"/>
      <x:c r="Y197" s="138"/>
      <x:c r="Z197" s="138"/>
    </x:row>
    <x:row r="198">
      <x:c r="A198" s="138"/>
      <x:c r="B198" s="138"/>
      <x:c r="C198" s="138"/>
      <x:c r="D198" s="138"/>
      <x:c r="E198" s="138"/>
      <x:c r="F198" s="138"/>
      <x:c r="G198" s="138"/>
      <x:c r="H198" s="138"/>
      <x:c r="I198" s="138"/>
      <x:c r="J198" s="138"/>
      <x:c r="K198" s="138"/>
      <x:c r="L198" s="138"/>
      <x:c r="M198" s="138"/>
      <x:c r="N198" s="138"/>
      <x:c r="O198" s="138"/>
      <x:c r="P198" s="138"/>
      <x:c r="Q198" s="138"/>
      <x:c r="R198" s="138"/>
      <x:c r="S198" s="138"/>
      <x:c r="T198" s="138"/>
      <x:c r="U198" s="138"/>
      <x:c r="V198" s="138"/>
      <x:c r="W198" s="138"/>
      <x:c r="X198" s="138"/>
      <x:c r="Y198" s="138"/>
      <x:c r="Z198" s="138"/>
    </x:row>
    <x:row r="199">
      <x:c r="A199" s="138"/>
      <x:c r="B199" s="138"/>
      <x:c r="C199" s="138"/>
      <x:c r="D199" s="138"/>
      <x:c r="E199" s="138"/>
      <x:c r="F199" s="138"/>
      <x:c r="G199" s="138"/>
      <x:c r="H199" s="138"/>
      <x:c r="I199" s="138"/>
      <x:c r="J199" s="138"/>
      <x:c r="K199" s="138"/>
      <x:c r="L199" s="138"/>
      <x:c r="M199" s="138"/>
      <x:c r="N199" s="138"/>
      <x:c r="O199" s="138"/>
      <x:c r="P199" s="138"/>
      <x:c r="Q199" s="138"/>
      <x:c r="R199" s="138"/>
      <x:c r="S199" s="138"/>
      <x:c r="T199" s="138"/>
      <x:c r="U199" s="138"/>
      <x:c r="V199" s="138"/>
      <x:c r="W199" s="138"/>
      <x:c r="X199" s="138"/>
      <x:c r="Y199" s="138"/>
      <x:c r="Z199" s="138"/>
    </x:row>
    <x:row r="200">
      <x:c r="A200" s="138"/>
      <x:c r="B200" s="138"/>
      <x:c r="C200" s="138"/>
      <x:c r="D200" s="138"/>
      <x:c r="E200" s="138"/>
      <x:c r="F200" s="138"/>
      <x:c r="G200" s="138"/>
      <x:c r="H200" s="138"/>
      <x:c r="I200" s="138"/>
      <x:c r="J200" s="138"/>
      <x:c r="K200" s="138"/>
      <x:c r="L200" s="138"/>
      <x:c r="M200" s="138"/>
      <x:c r="N200" s="138"/>
      <x:c r="O200" s="138"/>
      <x:c r="P200" s="138"/>
      <x:c r="Q200" s="138"/>
      <x:c r="R200" s="138"/>
      <x:c r="S200" s="138"/>
      <x:c r="T200" s="138"/>
      <x:c r="U200" s="138"/>
      <x:c r="V200" s="138"/>
      <x:c r="W200" s="138"/>
      <x:c r="X200" s="138"/>
      <x:c r="Y200" s="138"/>
      <x:c r="Z200" s="138"/>
    </x:row>
  </x:sheetData>
  <x:mergeCells>
    <x:mergeCell ref="A1:G1"/>
    <x:mergeCell ref="A2:G2"/>
  </x:mergeCells>
  <x:conditionalFormatting sqref="F5:F10">
    <x:cfRule type="cellIs" dxfId="4" priority="1">
      <x:formula>"OK"</x:formula>
    </x:cfRule>
    <x:cfRule type="cellIs" dxfId="5" priority="2">
      <x:formula>"FAIL"</x:formula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5" hidden="0" customWidth="1"/>
    <x:col min="3" max="3" width="15" hidden="0" customWidth="1"/>
    <x:col min="4" max="4" width="18" hidden="0" customWidth="1"/>
    <x:col min="5" max="5" width="36" hidden="0" customWidth="1"/>
    <x:col min="6" max="6" width="3" hidden="0" customWidth="1"/>
    <x:col min="7" max="7" width="23" hidden="0" customWidth="1"/>
    <x:col min="8" max="8" width="17" hidden="0" customWidth="1"/>
    <x:col min="9" max="9" width="15" hidden="0" customWidth="1"/>
    <x:col min="10" max="10" width="17" hidden="0" customWidth="1"/>
    <x:col min="11" max="11" width="15" hidden="0" customWidth="1"/>
    <x:col min="12" max="12" width="17" hidden="0" customWidth="1"/>
  </x:cols>
  <x:sheetData>
    <x:row r="1" ht="32" customHeight="1">
      <x:c r="A1" s="137" t="str">
        <x:v>Arcova Pricing Model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  <x:c r="V1" s="138"/>
      <x:c r="W1" s="138"/>
      <x:c r="X1" s="138"/>
      <x:c r="Y1" s="138"/>
      <x:c r="Z1" s="138"/>
    </x:row>
    <x:row r="2" ht="30" customHeight="1">
      <x:c r="A2" s="139" t="str">
        <x:v>Customer action credits are priced independently from provider COGS. Starter is $149/workspace with 2,000 shared credits and monthly monitoring for 5,000 active leads; Growth is $799/workspace with 8,000 credits and weekly monitoring for 10,000.</x:v>
      </x:c>
      <x:c r="B2" s="138"/>
      <x:c r="C2" s="138"/>
      <x:c r="D2" s="138"/>
      <x:c r="E2" s="138"/>
      <x:c r="F2" s="138"/>
      <x:c r="G2" s="138"/>
      <x:c r="H2" s="138"/>
      <x:c r="I2" s="138"/>
      <x:c r="J2" s="138"/>
      <x:c r="K2" s="138"/>
      <x:c r="L2" s="138"/>
      <x:c r="M2" s="138"/>
      <x:c r="N2" s="138"/>
      <x:c r="O2" s="138"/>
      <x:c r="P2" s="138"/>
      <x:c r="Q2" s="138"/>
      <x:c r="R2" s="138"/>
      <x:c r="S2" s="138"/>
      <x:c r="T2" s="138"/>
      <x:c r="U2" s="138"/>
      <x:c r="V2" s="138"/>
      <x:c r="W2" s="138"/>
      <x:c r="X2" s="138"/>
      <x:c r="Y2" s="138"/>
      <x:c r="Z2" s="138"/>
    </x:row>
    <x:row r="3">
      <x:c r="A3" s="138"/>
      <x:c r="B3" s="138"/>
      <x:c r="C3" s="138"/>
      <x:c r="D3" s="138"/>
      <x:c r="E3" s="138"/>
      <x:c r="F3" s="138"/>
      <x:c r="G3" s="138"/>
      <x:c r="H3" s="138"/>
      <x:c r="I3" s="138"/>
      <x:c r="J3" s="138"/>
      <x:c r="K3" s="138"/>
      <x:c r="L3" s="138"/>
      <x:c r="M3" s="138"/>
      <x:c r="N3" s="138"/>
      <x:c r="O3" s="138"/>
      <x:c r="P3" s="138"/>
      <x:c r="Q3" s="138"/>
      <x:c r="R3" s="138"/>
      <x:c r="S3" s="138"/>
      <x:c r="T3" s="138"/>
      <x:c r="U3" s="138"/>
      <x:c r="V3" s="138"/>
      <x:c r="W3" s="138"/>
      <x:c r="X3" s="138"/>
      <x:c r="Y3" s="138"/>
      <x:c r="Z3" s="138"/>
    </x:row>
    <x:row r="4" ht="22" customHeight="1">
      <x:c r="A4" s="140" t="str">
        <x:v>Executive recommendation</x:v>
      </x:c>
      <x:c r="B4" s="138"/>
      <x:c r="C4" s="138"/>
      <x:c r="D4" s="138"/>
      <x:c r="E4" s="138"/>
      <x:c r="F4" s="138"/>
      <x:c r="G4" s="138"/>
      <x:c r="H4" s="138"/>
      <x:c r="I4" s="138"/>
      <x:c r="J4" s="138"/>
      <x:c r="K4" s="138"/>
      <x:c r="L4" s="138"/>
      <x:c r="M4" s="138"/>
      <x:c r="N4" s="138"/>
      <x:c r="O4" s="138"/>
      <x:c r="P4" s="138"/>
      <x:c r="Q4" s="138"/>
      <x:c r="R4" s="138"/>
      <x:c r="S4" s="138"/>
      <x:c r="T4" s="138"/>
      <x:c r="U4" s="138"/>
      <x:c r="V4" s="138"/>
      <x:c r="W4" s="138"/>
      <x:c r="X4" s="138"/>
      <x:c r="Y4" s="138"/>
      <x:c r="Z4" s="138"/>
    </x:row>
    <x:row r="5">
      <x:c r="A5" s="214" t="str">
        <x:v>Decision</x:v>
      </x:c>
      <x:c r="B5" s="151" t="str">
        <x:v>Recommendation</x:v>
      </x:c>
      <x:c r="C5" s="151"/>
      <x:c r="D5" s="151"/>
      <x:c r="E5" s="151"/>
      <x:c r="F5" s="146"/>
      <x:c r="G5" s="138"/>
      <x:c r="H5" s="141" t="str">
        <x:v>Plan</x:v>
      </x:c>
      <x:c r="I5" s="142" t="str">
        <x:v>Price</x:v>
      </x:c>
      <x:c r="J5" s="142" t="str">
        <x:v>Modeled COGS*</x:v>
      </x:c>
      <x:c r="K5" s="142" t="str">
        <x:v>Worst GM</x:v>
      </x:c>
      <x:c r="L5" s="143" t="str">
        <x:v>Monitor cap</x:v>
      </x:c>
      <x:c r="M5" s="138"/>
      <x:c r="N5" s="138"/>
      <x:c r="O5" s="138"/>
      <x:c r="P5" s="138"/>
      <x:c r="Q5" s="138"/>
      <x:c r="R5" s="138"/>
      <x:c r="S5" s="138"/>
      <x:c r="T5" s="138"/>
      <x:c r="U5" s="138"/>
      <x:c r="V5" s="138"/>
      <x:c r="W5" s="138"/>
      <x:c r="X5" s="138"/>
      <x:c r="Y5" s="138"/>
      <x:c r="Z5" s="138"/>
    </x:row>
    <x:row r="6">
      <x:c r="A6" s="215" t="str">
        <x:v>Internal cost reference</x:v>
      </x:c>
      <x:c r="B6" s="154" t="str">
        <x:v>$0.01 is an internal COGS reference only; it does not determine customer credit prices.</x:v>
      </x:c>
      <x:c r="C6" s="154"/>
      <x:c r="D6" s="154"/>
      <x:c r="E6" s="154"/>
      <x:c r="F6" s="155"/>
      <x:c r="G6" s="138"/>
      <x:c r="H6" s="144" t="str">
        <x:v>Starter</x:v>
      </x:c>
      <x:c r="I6" s="216" t="n">
        <x:f>'Tier Model'!B6</x:f>
        <x:v>149</x:v>
      </x:c>
      <x:c r="J6" s="216" t="n">
        <x:f>'Tier Model'!M6</x:f>
        <x:v>59.625</x:v>
      </x:c>
      <x:c r="K6" s="197" t="n">
        <x:f>'Tier Model'!N6</x:f>
        <x:v>0.5998322147651006</x:v>
      </x:c>
      <x:c r="L6" s="217" t="n">
        <x:f>'Tier Model'!D6</x:f>
        <x:v>5000</x:v>
      </x:c>
      <x:c r="M6" s="138"/>
      <x:c r="N6" s="138"/>
      <x:c r="O6" s="138"/>
      <x:c r="P6" s="138"/>
      <x:c r="Q6" s="138"/>
      <x:c r="R6" s="138"/>
      <x:c r="S6" s="138"/>
      <x:c r="T6" s="138"/>
      <x:c r="U6" s="138"/>
      <x:c r="V6" s="138"/>
      <x:c r="W6" s="138"/>
      <x:c r="X6" s="138"/>
      <x:c r="Y6" s="138"/>
      <x:c r="Z6" s="138"/>
    </x:row>
    <x:row r="7">
      <x:c r="A7" s="215" t="str">
        <x:v>Starter</x:v>
      </x:c>
      <x:c r="B7" s="154" t="str">
        <x:v>$149 / workspace / month · 2,000 credits · 3 active ICPs · 5,000 active leads monitored monthly</x:v>
      </x:c>
      <x:c r="C7" s="154"/>
      <x:c r="D7" s="154"/>
      <x:c r="E7" s="154"/>
      <x:c r="F7" s="155"/>
      <x:c r="G7" s="138"/>
      <x:c r="H7" s="147" t="str">
        <x:v>Growth</x:v>
      </x:c>
      <x:c r="I7" s="218" t="n">
        <x:f>'Tier Model'!B7</x:f>
        <x:v>799</x:v>
      </x:c>
      <x:c r="J7" s="218" t="n">
        <x:f>'Tier Model'!M7</x:f>
        <x:v>297.45000000000005</x:v>
      </x:c>
      <x:c r="K7" s="209" t="n">
        <x:f>'Tier Model'!N7</x:f>
        <x:v>0.6277221526908635</x:v>
      </x:c>
      <x:c r="L7" s="219" t="n">
        <x:f>'Tier Model'!D7</x:f>
        <x:v>10000</x:v>
      </x:c>
      <x:c r="M7" s="138"/>
      <x:c r="N7" s="138"/>
      <x:c r="O7" s="138"/>
      <x:c r="P7" s="138"/>
      <x:c r="Q7" s="138"/>
      <x:c r="R7" s="138"/>
      <x:c r="S7" s="138"/>
      <x:c r="T7" s="138"/>
      <x:c r="U7" s="138"/>
      <x:c r="V7" s="138"/>
      <x:c r="W7" s="138"/>
      <x:c r="X7" s="138"/>
      <x:c r="Y7" s="138"/>
      <x:c r="Z7" s="138"/>
    </x:row>
    <x:row r="8">
      <x:c r="A8" s="215" t="str">
        <x:v>Growth</x:v>
      </x:c>
      <x:c r="B8" s="154" t="str">
        <x:v>$799 / workspace / month · 8,000 credits · 10 active ICPs · 10,000 active leads monitored weekly</x:v>
      </x:c>
      <x:c r="C8" s="154"/>
      <x:c r="D8" s="154"/>
      <x:c r="E8" s="154"/>
      <x:c r="F8" s="155"/>
      <x:c r="G8" s="138"/>
      <x:c r="H8" s="138"/>
      <x:c r="I8" s="138"/>
      <x:c r="J8" s="138"/>
      <x:c r="K8" s="138"/>
      <x:c r="L8" s="138"/>
      <x:c r="M8" s="138"/>
      <x:c r="N8" s="138"/>
      <x:c r="O8" s="138"/>
      <x:c r="P8" s="138"/>
      <x:c r="Q8" s="138"/>
      <x:c r="R8" s="138"/>
      <x:c r="S8" s="138"/>
      <x:c r="T8" s="138"/>
      <x:c r="U8" s="138"/>
      <x:c r="V8" s="138"/>
      <x:c r="W8" s="138"/>
      <x:c r="X8" s="138"/>
      <x:c r="Y8" s="138"/>
      <x:c r="Z8" s="138"/>
    </x:row>
    <x:row r="9">
      <x:c r="A9" s="200" t="str">
        <x:v>Overages</x:v>
      </x:c>
      <x:c r="B9" s="159" t="str">
        <x:v>$100 / 1K Starter credits; $70 / 1K Growth credits</x:v>
      </x:c>
      <x:c r="C9" s="159"/>
      <x:c r="D9" s="159"/>
      <x:c r="E9" s="159"/>
      <x:c r="F9" s="149"/>
      <x:c r="G9" s="138"/>
      <x:c r="H9" s="138"/>
      <x:c r="I9" s="138"/>
      <x:c r="J9" s="138"/>
      <x:c r="K9" s="138"/>
      <x:c r="L9" s="138"/>
      <x:c r="M9" s="138"/>
      <x:c r="N9" s="138"/>
      <x:c r="O9" s="138"/>
      <x:c r="P9" s="138"/>
      <x:c r="Q9" s="138"/>
      <x:c r="R9" s="138"/>
      <x:c r="S9" s="138"/>
      <x:c r="T9" s="138"/>
      <x:c r="U9" s="138"/>
      <x:c r="V9" s="138"/>
      <x:c r="W9" s="138"/>
      <x:c r="X9" s="138"/>
      <x:c r="Y9" s="138"/>
      <x:c r="Z9" s="138"/>
    </x:row>
    <x:row r="10">
      <x:c r="A10" s="138"/>
      <x:c r="B10" s="138"/>
      <x:c r="C10" s="138"/>
      <x:c r="D10" s="138"/>
      <x:c r="E10" s="138"/>
      <x:c r="F10" s="138"/>
      <x:c r="G10" s="138"/>
      <x:c r="H10" s="138"/>
      <x:c r="I10" s="138"/>
      <x:c r="J10" s="138"/>
      <x:c r="K10" s="138"/>
      <x:c r="L10" s="138"/>
      <x:c r="M10" s="138"/>
      <x:c r="N10" s="138"/>
      <x:c r="O10" s="138"/>
      <x:c r="P10" s="138"/>
      <x:c r="Q10" s="138"/>
      <x:c r="R10" s="138"/>
      <x:c r="S10" s="138"/>
      <x:c r="T10" s="138"/>
      <x:c r="U10" s="138"/>
      <x:c r="V10" s="138"/>
      <x:c r="W10" s="138"/>
      <x:c r="X10" s="138"/>
      <x:c r="Y10" s="138"/>
      <x:c r="Z10" s="138"/>
    </x:row>
    <x:row r="11">
      <x:c r="A11" s="138"/>
      <x:c r="B11" s="138"/>
      <x:c r="C11" s="138"/>
      <x:c r="D11" s="138"/>
      <x:c r="E11" s="138"/>
      <x:c r="F11" s="138"/>
      <x:c r="G11" s="138"/>
      <x:c r="H11" s="138"/>
      <x:c r="I11" s="138"/>
      <x:c r="J11" s="138"/>
      <x:c r="K11" s="138"/>
      <x:c r="L11" s="138"/>
      <x:c r="M11" s="138"/>
      <x:c r="N11" s="138"/>
      <x:c r="O11" s="138"/>
      <x:c r="P11" s="138"/>
      <x:c r="Q11" s="138"/>
      <x:c r="R11" s="138"/>
      <x:c r="S11" s="138"/>
      <x:c r="T11" s="138"/>
      <x:c r="U11" s="138"/>
      <x:c r="V11" s="138"/>
      <x:c r="W11" s="138"/>
      <x:c r="X11" s="138"/>
      <x:c r="Y11" s="138"/>
      <x:c r="Z11" s="138"/>
    </x:row>
    <x:row r="12" ht="22" customHeight="1">
      <x:c r="A12" s="140" t="str">
        <x:v>Action prices</x:v>
      </x:c>
      <x:c r="B12" s="138"/>
      <x:c r="C12" s="138"/>
      <x:c r="D12" s="138"/>
      <x:c r="E12" s="138"/>
      <x:c r="F12" s="138"/>
      <x:c r="G12" s="138"/>
      <x:c r="H12" s="138"/>
      <x:c r="I12" s="138"/>
      <x:c r="J12" s="138"/>
      <x:c r="K12" s="138"/>
      <x:c r="L12" s="138"/>
      <x:c r="M12" s="138"/>
      <x:c r="N12" s="138"/>
      <x:c r="O12" s="138"/>
      <x:c r="P12" s="138"/>
      <x:c r="Q12" s="138"/>
      <x:c r="R12" s="138"/>
      <x:c r="S12" s="138"/>
      <x:c r="T12" s="138"/>
      <x:c r="U12" s="138"/>
      <x:c r="V12" s="138"/>
      <x:c r="W12" s="138"/>
      <x:c r="X12" s="138"/>
      <x:c r="Y12" s="138"/>
      <x:c r="Z12" s="138"/>
    </x:row>
    <x:row r="13">
      <x:c r="A13" s="141" t="str">
        <x:v>Action</x:v>
      </x:c>
      <x:c r="B13" s="142" t="str">
        <x:v>Arcova credits</x:v>
      </x:c>
      <x:c r="C13" s="142" t="str">
        <x:v>Approx COGS</x:v>
      </x:c>
      <x:c r="D13" s="142" t="str">
        <x:v>Starter overage retail</x:v>
      </x:c>
      <x:c r="E13" s="143" t="str">
        <x:v>Design intent</x:v>
      </x:c>
      <x:c r="F13" s="138"/>
      <x:c r="G13" s="141" t="str">
        <x:v>Scenario result</x:v>
      </x:c>
      <x:c r="H13" s="142" t="str">
        <x:v>Value</x:v>
      </x:c>
      <x:c r="I13" s="142"/>
      <x:c r="J13" s="142"/>
      <x:c r="K13" s="142"/>
      <x:c r="L13" s="143"/>
      <x:c r="M13" s="138"/>
      <x:c r="N13" s="138"/>
      <x:c r="O13" s="138"/>
      <x:c r="P13" s="138"/>
      <x:c r="Q13" s="138"/>
      <x:c r="R13" s="138"/>
      <x:c r="S13" s="138"/>
      <x:c r="T13" s="138"/>
      <x:c r="U13" s="138"/>
      <x:c r="V13" s="138"/>
      <x:c r="W13" s="138"/>
      <x:c r="X13" s="138"/>
      <x:c r="Y13" s="138"/>
      <x:c r="Z13" s="138"/>
    </x:row>
    <x:row r="14">
      <x:c r="A14" s="144" t="str">
        <x:v>Triage record</x:v>
      </x:c>
      <x:c r="B14" s="164" t="n">
        <x:f>'Action Credits'!F7</x:f>
        <x:v>0.1</x:v>
      </x:c>
      <x:c r="C14" s="196" t="n">
        <x:f>'Action Credits'!D7</x:f>
        <x:v>0.0007</x:v>
      </x:c>
      <x:c r="D14" s="196" t="n">
        <x:f>B14/1000*100</x:f>
        <x:v>0.01</x:v>
      </x:c>
      <x:c r="E14" s="146" t="str">
        <x:v>Cheap enough not to punish large imports.</x:v>
      </x:c>
      <x:c r="F14" s="138"/>
      <x:c r="G14" s="214" t="str">
        <x:v>Scenario credits</x:v>
      </x:c>
      <x:c r="H14" s="146" t="n">
        <x:f>'Scenario Model'!D28</x:f>
        <x:v>1311</x:v>
      </x:c>
      <x:c r="I14" s="138"/>
      <x:c r="J14" s="138"/>
      <x:c r="K14" s="138"/>
      <x:c r="L14" s="138"/>
      <x:c r="M14" s="138"/>
      <x:c r="N14" s="138"/>
      <x:c r="O14" s="138"/>
      <x:c r="P14" s="138"/>
      <x:c r="Q14" s="138"/>
      <x:c r="R14" s="138"/>
      <x:c r="S14" s="138"/>
      <x:c r="T14" s="138"/>
      <x:c r="U14" s="138"/>
      <x:c r="V14" s="138"/>
      <x:c r="W14" s="138"/>
      <x:c r="X14" s="138"/>
      <x:c r="Y14" s="138"/>
      <x:c r="Z14" s="138"/>
    </x:row>
    <x:row r="15">
      <x:c r="A15" s="152" t="str">
        <x:v>Enriched lead</x:v>
      </x:c>
      <x:c r="B15" s="167" t="n">
        <x:f>'Action Credits'!F8</x:f>
        <x:v>4</x:v>
      </x:c>
      <x:c r="C15" s="198" t="n">
        <x:f>'Action Credits'!D8</x:f>
        <x:v>0.0325</x:v>
      </x:c>
      <x:c r="D15" s="198" t="n">
        <x:f>B15/1000*100</x:f>
        <x:v>0.4</x:v>
      </x:c>
      <x:c r="E15" s="155" t="str">
        <x:v>Core paid data action.</x:v>
      </x:c>
      <x:c r="F15" s="138"/>
      <x:c r="G15" s="215" t="str">
        <x:v>Starter included</x:v>
      </x:c>
      <x:c r="H15" s="155" t="n">
        <x:f>'Tier Model'!C6</x:f>
        <x:v>2000</x:v>
      </x:c>
      <x:c r="I15" s="138"/>
      <x:c r="J15" s="138"/>
      <x:c r="K15" s="138"/>
      <x:c r="L15" s="138"/>
      <x:c r="M15" s="138"/>
      <x:c r="N15" s="138"/>
      <x:c r="O15" s="138"/>
      <x:c r="P15" s="138"/>
      <x:c r="Q15" s="138"/>
      <x:c r="R15" s="138"/>
      <x:c r="S15" s="138"/>
      <x:c r="T15" s="138"/>
      <x:c r="U15" s="138"/>
      <x:c r="V15" s="138"/>
      <x:c r="W15" s="138"/>
      <x:c r="X15" s="138"/>
      <x:c r="Y15" s="138"/>
      <x:c r="Z15" s="138"/>
    </x:row>
    <x:row r="16">
      <x:c r="A16" s="152" t="str">
        <x:v>Email validation</x:v>
      </x:c>
      <x:c r="B16" s="167" t="n">
        <x:f>'Action Credits'!F10</x:f>
        <x:v>0.5</x:v>
      </x:c>
      <x:c r="C16" s="198" t="n">
        <x:f>'Action Credits'!D10</x:f>
        <x:v>0.005</x:v>
      </x:c>
      <x:c r="D16" s="198" t="n">
        <x:f>B16/1000*100</x:f>
        <x:v>0.05</x:v>
      </x:c>
      <x:c r="E16" s="155" t="str">
        <x:v>Tiny add-on, only when needed.</x:v>
      </x:c>
      <x:c r="F16" s="138"/>
      <x:c r="G16" s="215" t="str">
        <x:v>Starter overage</x:v>
      </x:c>
      <x:c r="H16" s="155" t="n">
        <x:f>MAX(0,H14-H15)</x:f>
        <x:v>0</x:v>
      </x:c>
      <x:c r="I16" s="138"/>
      <x:c r="J16" s="138"/>
      <x:c r="K16" s="138"/>
      <x:c r="L16" s="138"/>
      <x:c r="M16" s="138"/>
      <x:c r="N16" s="138"/>
      <x:c r="O16" s="138"/>
      <x:c r="P16" s="138"/>
      <x:c r="Q16" s="138"/>
      <x:c r="R16" s="138"/>
      <x:c r="S16" s="138"/>
      <x:c r="T16" s="138"/>
      <x:c r="U16" s="138"/>
      <x:c r="V16" s="138"/>
      <x:c r="W16" s="138"/>
      <x:c r="X16" s="138"/>
      <x:c r="Y16" s="138"/>
      <x:c r="Z16" s="138"/>
    </x:row>
    <x:row r="17">
      <x:c r="A17" s="152" t="str">
        <x:v>Find new email</x:v>
      </x:c>
      <x:c r="B17" s="167" t="n">
        <x:f>'Action Credits'!F11</x:f>
        <x:v>11</x:v>
      </x:c>
      <x:c r="C17" s="198" t="n">
        <x:f>'Action Credits'!D11</x:f>
        <x:v>0.10500000000000001</x:v>
      </x:c>
      <x:c r="D17" s="198" t="n">
        <x:f>B17/1000*100</x:f>
        <x:v>1.0999999999999999</x:v>
      </x:c>
      <x:c r="E17" s="155" t="str">
        <x:v>Success-based premium action.</x:v>
      </x:c>
      <x:c r="F17" s="138"/>
      <x:c r="G17" s="215" t="str">
        <x:v>Starter monthly bill</x:v>
      </x:c>
      <x:c r="H17" s="220" t="n">
        <x:f>149+H16/1000*100</x:f>
        <x:v>149</x:v>
      </x:c>
      <x:c r="I17" s="138"/>
      <x:c r="J17" s="138"/>
      <x:c r="K17" s="138"/>
      <x:c r="L17" s="138"/>
      <x:c r="M17" s="138"/>
      <x:c r="N17" s="138"/>
      <x:c r="O17" s="138"/>
      <x:c r="P17" s="138"/>
      <x:c r="Q17" s="138"/>
      <x:c r="R17" s="138"/>
      <x:c r="S17" s="138"/>
      <x:c r="T17" s="138"/>
      <x:c r="U17" s="138"/>
      <x:c r="V17" s="138"/>
      <x:c r="W17" s="138"/>
      <x:c r="X17" s="138"/>
      <x:c r="Y17" s="138"/>
      <x:c r="Z17" s="138"/>
    </x:row>
    <x:row r="18">
      <x:c r="A18" s="152" t="str">
        <x:v>Phone reveal</x:v>
      </x:c>
      <x:c r="B18" s="167" t="n">
        <x:f>'Action Credits'!F12</x:f>
        <x:v>20</x:v>
      </x:c>
      <x:c r="C18" s="198" t="n">
        <x:f>'Action Credits'!D12</x:f>
        <x:v>0.2</x:v>
      </x:c>
      <x:c r="D18" s="198" t="n">
        <x:f>B18/1000*100</x:f>
        <x:v>2</x:v>
      </x:c>
      <x:c r="E18" s="155" t="str">
        <x:v>Explicit, expensive, never automatic.</x:v>
      </x:c>
      <x:c r="F18" s="138"/>
      <x:c r="G18" s="215" t="str">
        <x:v>Monitoring contacts</x:v>
      </x:c>
      <x:c r="H18" s="155" t="n">
        <x:f>'Scenario Model'!B14</x:f>
        <x:v>140</x:v>
      </x:c>
      <x:c r="I18" s="138"/>
      <x:c r="J18" s="138"/>
      <x:c r="K18" s="138"/>
      <x:c r="L18" s="138"/>
      <x:c r="M18" s="138"/>
      <x:c r="N18" s="138"/>
      <x:c r="O18" s="138"/>
      <x:c r="P18" s="138"/>
      <x:c r="Q18" s="138"/>
      <x:c r="R18" s="138"/>
      <x:c r="S18" s="138"/>
      <x:c r="T18" s="138"/>
      <x:c r="U18" s="138"/>
      <x:c r="V18" s="138"/>
      <x:c r="W18" s="138"/>
      <x:c r="X18" s="138"/>
      <x:c r="Y18" s="138"/>
      <x:c r="Z18" s="138"/>
    </x:row>
    <x:row r="19">
      <x:c r="A19" s="152" t="str">
        <x:v>Net-new lead</x:v>
      </x:c>
      <x:c r="B19" s="167" t="n">
        <x:f>'Action Credits'!F13</x:f>
        <x:v>4</x:v>
      </x:c>
      <x:c r="C19" s="198" t="n">
        <x:f>'Action Credits'!D13</x:f>
        <x:v>0.025500000000000002</x:v>
      </x:c>
      <x:c r="D19" s="198" t="n">
        <x:f>B19/1000*100</x:f>
        <x:v>0.4</x:v>
      </x:c>
      <x:c r="E19" s="155" t="str">
        <x:v>Acquisition priced through the shared pool.</x:v>
      </x:c>
      <x:c r="F19" s="138"/>
      <x:c r="G19" s="200" t="str">
        <x:v>Recommended tier</x:v>
      </x:c>
      <x:c r="H19" s="149" t="str">
        <x:v>Starter</x:v>
      </x:c>
      <x:c r="I19" s="138"/>
      <x:c r="J19" s="138"/>
      <x:c r="K19" s="138"/>
      <x:c r="L19" s="138"/>
      <x:c r="M19" s="138"/>
      <x:c r="N19" s="138"/>
      <x:c r="O19" s="138"/>
      <x:c r="P19" s="138"/>
      <x:c r="Q19" s="138"/>
      <x:c r="R19" s="138"/>
      <x:c r="S19" s="138"/>
      <x:c r="T19" s="138"/>
      <x:c r="U19" s="138"/>
      <x:c r="V19" s="138"/>
      <x:c r="W19" s="138"/>
      <x:c r="X19" s="138"/>
      <x:c r="Y19" s="138"/>
      <x:c r="Z19" s="138"/>
    </x:row>
    <x:row r="20">
      <x:c r="A20" s="147" t="str">
        <x:v>Outreach sequence</x:v>
      </x:c>
      <x:c r="B20" s="172" t="n">
        <x:f>'Action Credits'!F15</x:f>
        <x:v>5</x:v>
      </x:c>
      <x:c r="C20" s="221" t="n">
        <x:f>'Action Credits'!D15</x:f>
        <x:v>0.063</x:v>
      </x:c>
      <x:c r="D20" s="221" t="n">
        <x:f>B20/1000*100</x:f>
        <x:v>0.5</x:v>
      </x:c>
      <x:c r="E20" s="149" t="str">
        <x:v>Discrete generated asset; chat remains fair-use.</x:v>
      </x:c>
      <x:c r="F20" s="138"/>
      <x:c r="G20" s="138"/>
      <x:c r="H20" s="138"/>
      <x:c r="I20" s="138"/>
      <x:c r="J20" s="138"/>
      <x:c r="K20" s="138"/>
      <x:c r="L20" s="138"/>
      <x:c r="M20" s="138"/>
      <x:c r="N20" s="138"/>
      <x:c r="O20" s="138"/>
      <x:c r="P20" s="138"/>
      <x:c r="Q20" s="138"/>
      <x:c r="R20" s="138"/>
      <x:c r="S20" s="138"/>
      <x:c r="T20" s="138"/>
      <x:c r="U20" s="138"/>
      <x:c r="V20" s="138"/>
      <x:c r="W20" s="138"/>
      <x:c r="X20" s="138"/>
      <x:c r="Y20" s="138"/>
      <x:c r="Z20" s="138"/>
    </x:row>
    <x:row r="21">
      <x:c r="A21" s="138"/>
      <x:c r="B21" s="138"/>
      <x:c r="C21" s="138"/>
      <x:c r="D21" s="138"/>
      <x:c r="E21" s="138"/>
      <x:c r="F21" s="138"/>
      <x:c r="G21" s="138"/>
      <x:c r="H21" s="138"/>
      <x:c r="I21" s="138"/>
      <x:c r="J21" s="138"/>
      <x:c r="K21" s="138"/>
      <x:c r="L21" s="138"/>
      <x:c r="M21" s="138"/>
      <x:c r="N21" s="138"/>
      <x:c r="O21" s="138"/>
      <x:c r="P21" s="138"/>
      <x:c r="Q21" s="138"/>
      <x:c r="R21" s="138"/>
      <x:c r="S21" s="138"/>
      <x:c r="T21" s="138"/>
      <x:c r="U21" s="138"/>
      <x:c r="V21" s="138"/>
      <x:c r="W21" s="138"/>
      <x:c r="X21" s="138"/>
      <x:c r="Y21" s="138"/>
      <x:c r="Z21" s="138"/>
    </x:row>
    <x:row r="22">
      <x:c r="A22" s="138"/>
      <x:c r="B22" s="138"/>
      <x:c r="C22" s="138"/>
      <x:c r="D22" s="138"/>
      <x:c r="E22" s="138"/>
      <x:c r="F22" s="138"/>
      <x:c r="G22" s="138"/>
      <x:c r="H22" s="138"/>
      <x:c r="I22" s="138"/>
      <x:c r="J22" s="138"/>
      <x:c r="K22" s="138"/>
      <x:c r="L22" s="138"/>
      <x:c r="M22" s="138"/>
      <x:c r="N22" s="138"/>
      <x:c r="O22" s="138"/>
      <x:c r="P22" s="138"/>
      <x:c r="Q22" s="138"/>
      <x:c r="R22" s="138"/>
      <x:c r="S22" s="138"/>
      <x:c r="T22" s="138"/>
      <x:c r="U22" s="138"/>
      <x:c r="V22" s="138"/>
      <x:c r="W22" s="138"/>
      <x:c r="X22" s="138"/>
      <x:c r="Y22" s="138"/>
      <x:c r="Z22" s="138"/>
    </x:row>
    <x:row r="23" ht="22" customHeight="1">
      <x:c r="A23" s="140" t="str">
        <x:v>What matters most</x:v>
      </x:c>
      <x:c r="B23" s="138"/>
      <x:c r="C23" s="138"/>
      <x:c r="D23" s="138"/>
      <x:c r="E23" s="138"/>
      <x:c r="F23" s="138"/>
      <x:c r="G23" s="138"/>
      <x:c r="H23" s="138"/>
      <x:c r="I23" s="138"/>
      <x:c r="J23" s="138"/>
      <x:c r="K23" s="138"/>
      <x:c r="L23" s="138"/>
      <x:c r="M23" s="138"/>
      <x:c r="N23" s="138"/>
      <x:c r="O23" s="138"/>
      <x:c r="P23" s="138"/>
      <x:c r="Q23" s="138"/>
      <x:c r="R23" s="138"/>
      <x:c r="S23" s="138"/>
      <x:c r="T23" s="138"/>
      <x:c r="U23" s="138"/>
      <x:c r="V23" s="138"/>
      <x:c r="W23" s="138"/>
      <x:c r="X23" s="138"/>
      <x:c r="Y23" s="138"/>
      <x:c r="Z23" s="138"/>
    </x:row>
    <x:row r="24" ht="30" customHeight="1">
      <x:c r="A24" s="222" t="str">
        <x:v>1</x:v>
      </x:c>
      <x:c r="B24" s="151" t="str">
        <x:v>Monitoring volume × frequency is the recurring cost driver. Monthly Starter monitoring of 5,000 costs about $20/month; weekly Growth monitoring of 10,000 costs about $173/month in Apify.</x:v>
      </x:c>
      <x:c r="C24" s="151"/>
      <x:c r="D24" s="151"/>
      <x:c r="E24" s="151"/>
      <x:c r="F24" s="151"/>
      <x:c r="G24" s="151"/>
      <x:c r="H24" s="151"/>
      <x:c r="I24" s="151"/>
      <x:c r="J24" s="151"/>
      <x:c r="K24" s="151"/>
      <x:c r="L24" s="146"/>
      <x:c r="M24" s="138"/>
      <x:c r="N24" s="138"/>
      <x:c r="O24" s="138"/>
      <x:c r="P24" s="138"/>
      <x:c r="Q24" s="138"/>
      <x:c r="R24" s="138"/>
      <x:c r="S24" s="138"/>
      <x:c r="T24" s="138"/>
      <x:c r="U24" s="138"/>
      <x:c r="V24" s="138"/>
      <x:c r="W24" s="138"/>
      <x:c r="X24" s="138"/>
      <x:c r="Y24" s="138"/>
      <x:c r="Z24" s="138"/>
    </x:row>
    <x:row r="25" ht="30" customHeight="1">
      <x:c r="A25" s="223" t="str">
        <x:v>2</x:v>
      </x:c>
      <x:c r="B25" s="154" t="str">
        <x:v>Import must be free to store but not free to enrich. Triage first, then enrich ranked leads within a monthly import allocation.</x:v>
      </x:c>
      <x:c r="C25" s="154"/>
      <x:c r="D25" s="154"/>
      <x:c r="E25" s="154"/>
      <x:c r="F25" s="154"/>
      <x:c r="G25" s="154"/>
      <x:c r="H25" s="154"/>
      <x:c r="I25" s="154"/>
      <x:c r="J25" s="154"/>
      <x:c r="K25" s="154"/>
      <x:c r="L25" s="155"/>
      <x:c r="M25" s="138"/>
      <x:c r="N25" s="138"/>
      <x:c r="O25" s="138"/>
      <x:c r="P25" s="138"/>
      <x:c r="Q25" s="138"/>
      <x:c r="R25" s="138"/>
      <x:c r="S25" s="138"/>
      <x:c r="T25" s="138"/>
      <x:c r="U25" s="138"/>
      <x:c r="V25" s="138"/>
      <x:c r="W25" s="138"/>
      <x:c r="X25" s="138"/>
      <x:c r="Y25" s="138"/>
      <x:c r="Z25" s="138"/>
    </x:row>
    <x:row r="26" ht="30" customHeight="1">
      <x:c r="A26" s="223" t="str">
        <x:v>3</x:v>
      </x:c>
      <x:c r="B26" s="154" t="str">
        <x:v>Phone and email finding must be explicit user actions. They are too expensive for invisible automation.</x:v>
      </x:c>
      <x:c r="C26" s="154"/>
      <x:c r="D26" s="154"/>
      <x:c r="E26" s="154"/>
      <x:c r="F26" s="154"/>
      <x:c r="G26" s="154"/>
      <x:c r="H26" s="154"/>
      <x:c r="I26" s="154"/>
      <x:c r="J26" s="154"/>
      <x:c r="K26" s="154"/>
      <x:c r="L26" s="155"/>
      <x:c r="M26" s="138"/>
      <x:c r="N26" s="138"/>
      <x:c r="O26" s="138"/>
      <x:c r="P26" s="138"/>
      <x:c r="Q26" s="138"/>
      <x:c r="R26" s="138"/>
      <x:c r="S26" s="138"/>
      <x:c r="T26" s="138"/>
      <x:c r="U26" s="138"/>
      <x:c r="V26" s="138"/>
      <x:c r="W26" s="138"/>
      <x:c r="X26" s="138"/>
      <x:c r="Y26" s="138"/>
      <x:c r="Z26" s="138"/>
    </x:row>
    <x:row r="27" ht="30" customHeight="1">
      <x:c r="A27" s="223" t="str">
        <x:v>4</x:v>
      </x:c>
      <x:c r="B27" s="154" t="str">
        <x:v>Active ICPs are capped by plan: 1 on Free, 3 on Starter, 10 on Growth. Editing an existing ICP is free; adding another active ICP requires an available slot or upgrade.</x:v>
      </x:c>
      <x:c r="C27" s="154"/>
      <x:c r="D27" s="154"/>
      <x:c r="E27" s="154"/>
      <x:c r="F27" s="154"/>
      <x:c r="G27" s="154"/>
      <x:c r="H27" s="154"/>
      <x:c r="I27" s="154"/>
      <x:c r="J27" s="154"/>
      <x:c r="K27" s="154"/>
      <x:c r="L27" s="155"/>
      <x:c r="M27" s="138"/>
      <x:c r="N27" s="138"/>
      <x:c r="O27" s="138"/>
      <x:c r="P27" s="138"/>
      <x:c r="Q27" s="138"/>
      <x:c r="R27" s="138"/>
      <x:c r="S27" s="138"/>
      <x:c r="T27" s="138"/>
      <x:c r="U27" s="138"/>
      <x:c r="V27" s="138"/>
      <x:c r="W27" s="138"/>
      <x:c r="X27" s="138"/>
      <x:c r="Y27" s="138"/>
      <x:c r="Z27" s="138"/>
    </x:row>
    <x:row r="28" ht="30" customHeight="1">
      <x:c r="A28" s="224" t="str">
        <x:v>5</x:v>
      </x:c>
      <x:c r="B28" s="159" t="str">
        <x:v>Use overage packs as the profit engine: the provider COGS of 1,000 Arcova credits is modeled at $10; retail is $100 Starter / $70 Growth.</x:v>
      </x:c>
      <x:c r="C28" s="159"/>
      <x:c r="D28" s="159"/>
      <x:c r="E28" s="159"/>
      <x:c r="F28" s="159"/>
      <x:c r="G28" s="159"/>
      <x:c r="H28" s="159"/>
      <x:c r="I28" s="159"/>
      <x:c r="J28" s="159"/>
      <x:c r="K28" s="159"/>
      <x:c r="L28" s="149"/>
      <x:c r="M28" s="138"/>
      <x:c r="N28" s="138"/>
      <x:c r="O28" s="138"/>
      <x:c r="P28" s="138"/>
      <x:c r="Q28" s="138"/>
      <x:c r="R28" s="138"/>
      <x:c r="S28" s="138"/>
      <x:c r="T28" s="138"/>
      <x:c r="U28" s="138"/>
      <x:c r="V28" s="138"/>
      <x:c r="W28" s="138"/>
      <x:c r="X28" s="138"/>
      <x:c r="Y28" s="138"/>
      <x:c r="Z28" s="138"/>
    </x:row>
    <x:row r="29" ht="38" customHeight="1">
      <x:c r="A29" s="260" t="str">
        <x:v>6</x:v>
      </x:c>
      <x:c r="B29" s="263" t="str">
        <x:v>Modeled COGS includes provisional non-provider contribution-cost allowances of $18/month for Starter and $41/month for Growth. These are conservative, unsourced placeholders—not measured platform costs—and exclude payment fees, support, fixed overhead and separately unmodeled account-monitoring COGS.</x:v>
      </x:c>
      <x:c r="C29" s="263"/>
      <x:c r="D29" s="263"/>
      <x:c r="E29" s="263"/>
      <x:c r="F29" s="263"/>
      <x:c r="G29" s="263"/>
      <x:c r="H29" s="263"/>
      <x:c r="I29" s="263"/>
      <x:c r="J29" s="263"/>
      <x:c r="K29" s="263"/>
      <x:c r="L29" s="263"/>
      <x:c r="M29" s="138"/>
      <x:c r="N29" s="138"/>
      <x:c r="O29" s="138"/>
      <x:c r="P29" s="138"/>
      <x:c r="Q29" s="138"/>
      <x:c r="R29" s="138"/>
      <x:c r="S29" s="138"/>
      <x:c r="T29" s="138"/>
      <x:c r="U29" s="138"/>
      <x:c r="V29" s="138"/>
      <x:c r="W29" s="138"/>
      <x:c r="X29" s="138"/>
      <x:c r="Y29" s="138"/>
      <x:c r="Z29" s="138"/>
    </x:row>
    <x:row r="30">
      <x:c r="A30" s="138"/>
      <x:c r="B30" s="138"/>
      <x:c r="C30" s="138"/>
      <x:c r="D30" s="138"/>
      <x:c r="E30" s="138"/>
      <x:c r="F30" s="138"/>
      <x:c r="G30" s="138"/>
      <x:c r="H30" s="138"/>
      <x:c r="I30" s="138"/>
      <x:c r="J30" s="138"/>
      <x:c r="K30" s="138"/>
      <x:c r="L30" s="138"/>
      <x:c r="M30" s="138"/>
      <x:c r="N30" s="138"/>
      <x:c r="O30" s="138"/>
      <x:c r="P30" s="138"/>
      <x:c r="Q30" s="138"/>
      <x:c r="R30" s="138"/>
      <x:c r="S30" s="138"/>
      <x:c r="T30" s="138"/>
      <x:c r="U30" s="138"/>
      <x:c r="V30" s="138"/>
      <x:c r="W30" s="138"/>
      <x:c r="X30" s="138"/>
      <x:c r="Y30" s="138"/>
      <x:c r="Z30" s="138"/>
    </x:row>
    <x:row r="31">
      <x:c r="A31" s="138"/>
      <x:c r="B31" s="138"/>
      <x:c r="C31" s="138"/>
      <x:c r="D31" s="138"/>
      <x:c r="E31" s="138"/>
      <x:c r="F31" s="138"/>
      <x:c r="G31" s="138"/>
      <x:c r="H31" s="138"/>
      <x:c r="I31" s="138"/>
      <x:c r="J31" s="138"/>
      <x:c r="K31" s="138"/>
      <x:c r="L31" s="138"/>
      <x:c r="M31" s="138"/>
      <x:c r="N31" s="138"/>
      <x:c r="O31" s="138"/>
      <x:c r="P31" s="138"/>
      <x:c r="Q31" s="138"/>
      <x:c r="R31" s="138"/>
      <x:c r="S31" s="138"/>
      <x:c r="T31" s="138"/>
      <x:c r="U31" s="138"/>
      <x:c r="V31" s="138"/>
      <x:c r="W31" s="138"/>
      <x:c r="X31" s="138"/>
      <x:c r="Y31" s="138"/>
      <x:c r="Z31" s="138"/>
    </x:row>
    <x:row r="32">
      <x:c r="A32" s="138"/>
      <x:c r="B32" s="138"/>
      <x:c r="C32" s="138"/>
      <x:c r="D32" s="138"/>
      <x:c r="E32" s="138"/>
      <x:c r="F32" s="138"/>
      <x:c r="G32" s="138"/>
      <x:c r="H32" s="138"/>
      <x:c r="I32" s="138"/>
      <x:c r="J32" s="138"/>
      <x:c r="K32" s="138"/>
      <x:c r="L32" s="138"/>
      <x:c r="M32" s="138"/>
      <x:c r="N32" s="138"/>
      <x:c r="O32" s="138"/>
      <x:c r="P32" s="138"/>
      <x:c r="Q32" s="138"/>
      <x:c r="R32" s="138"/>
      <x:c r="S32" s="138"/>
      <x:c r="T32" s="138"/>
      <x:c r="U32" s="138"/>
      <x:c r="V32" s="138"/>
      <x:c r="W32" s="138"/>
      <x:c r="X32" s="138"/>
      <x:c r="Y32" s="138"/>
      <x:c r="Z32" s="138"/>
    </x:row>
    <x:row r="33">
      <x:c r="A33" s="138"/>
      <x:c r="B33" s="138"/>
      <x:c r="C33" s="138"/>
      <x:c r="D33" s="138"/>
      <x:c r="E33" s="138"/>
      <x:c r="F33" s="138"/>
      <x:c r="G33" s="138"/>
      <x:c r="H33" s="138"/>
      <x:c r="I33" s="138"/>
      <x:c r="J33" s="138"/>
      <x:c r="K33" s="138"/>
      <x:c r="L33" s="138"/>
      <x:c r="M33" s="138"/>
      <x:c r="N33" s="138"/>
      <x:c r="O33" s="138"/>
      <x:c r="P33" s="138"/>
      <x:c r="Q33" s="138"/>
      <x:c r="R33" s="138"/>
      <x:c r="S33" s="138"/>
      <x:c r="T33" s="138"/>
      <x:c r="U33" s="138"/>
      <x:c r="V33" s="138"/>
      <x:c r="W33" s="138"/>
      <x:c r="X33" s="138"/>
      <x:c r="Y33" s="138"/>
      <x:c r="Z33" s="138"/>
    </x:row>
    <x:row r="34">
      <x:c r="A34" s="138"/>
      <x:c r="B34" s="138"/>
      <x:c r="C34" s="138"/>
      <x:c r="D34" s="138"/>
      <x:c r="E34" s="138"/>
      <x:c r="F34" s="138"/>
      <x:c r="G34" s="138"/>
      <x:c r="H34" s="138"/>
      <x:c r="I34" s="138"/>
      <x:c r="J34" s="138"/>
      <x:c r="K34" s="138"/>
      <x:c r="L34" s="138"/>
      <x:c r="M34" s="138"/>
      <x:c r="N34" s="138"/>
      <x:c r="O34" s="138"/>
      <x:c r="P34" s="138"/>
      <x:c r="Q34" s="138"/>
      <x:c r="R34" s="138"/>
      <x:c r="S34" s="138"/>
      <x:c r="T34" s="138"/>
      <x:c r="U34" s="138"/>
      <x:c r="V34" s="138"/>
      <x:c r="W34" s="138"/>
      <x:c r="X34" s="138"/>
      <x:c r="Y34" s="138"/>
      <x:c r="Z34" s="138"/>
    </x:row>
    <x:row r="35">
      <x:c r="A35" s="138"/>
      <x:c r="B35" s="138"/>
      <x:c r="C35" s="138"/>
      <x:c r="D35" s="138"/>
      <x:c r="E35" s="138"/>
      <x:c r="F35" s="138"/>
      <x:c r="G35" s="138"/>
      <x:c r="H35" s="138"/>
      <x:c r="I35" s="138"/>
      <x:c r="J35" s="138"/>
      <x:c r="K35" s="138"/>
      <x:c r="L35" s="138"/>
      <x:c r="M35" s="138"/>
      <x:c r="N35" s="138"/>
      <x:c r="O35" s="138"/>
      <x:c r="P35" s="138"/>
      <x:c r="Q35" s="138"/>
      <x:c r="R35" s="138"/>
      <x:c r="S35" s="138"/>
      <x:c r="T35" s="138"/>
      <x:c r="U35" s="138"/>
      <x:c r="V35" s="138"/>
      <x:c r="W35" s="138"/>
      <x:c r="X35" s="138"/>
      <x:c r="Y35" s="138"/>
      <x:c r="Z35" s="138"/>
    </x:row>
    <x:row r="36">
      <x:c r="A36" s="138"/>
      <x:c r="B36" s="138"/>
      <x:c r="C36" s="138"/>
      <x:c r="D36" s="138"/>
      <x:c r="E36" s="138"/>
      <x:c r="F36" s="138"/>
      <x:c r="G36" s="138"/>
      <x:c r="H36" s="138"/>
      <x:c r="I36" s="138"/>
      <x:c r="J36" s="138"/>
      <x:c r="K36" s="138"/>
      <x:c r="L36" s="138"/>
      <x:c r="M36" s="138"/>
      <x:c r="N36" s="138"/>
      <x:c r="O36" s="138"/>
      <x:c r="P36" s="138"/>
      <x:c r="Q36" s="138"/>
      <x:c r="R36" s="138"/>
      <x:c r="S36" s="138"/>
      <x:c r="T36" s="138"/>
      <x:c r="U36" s="138"/>
      <x:c r="V36" s="138"/>
      <x:c r="W36" s="138"/>
      <x:c r="X36" s="138"/>
      <x:c r="Y36" s="138"/>
      <x:c r="Z36" s="138"/>
    </x:row>
    <x:row r="37">
      <x:c r="A37" s="138"/>
      <x:c r="B37" s="138"/>
      <x:c r="C37" s="138"/>
      <x:c r="D37" s="138"/>
      <x:c r="E37" s="138"/>
      <x:c r="F37" s="138"/>
      <x:c r="G37" s="138"/>
      <x:c r="H37" s="138"/>
      <x:c r="I37" s="138"/>
      <x:c r="J37" s="138"/>
      <x:c r="K37" s="138"/>
      <x:c r="L37" s="138"/>
      <x:c r="M37" s="138"/>
      <x:c r="N37" s="138"/>
      <x:c r="O37" s="138"/>
      <x:c r="P37" s="138"/>
      <x:c r="Q37" s="138"/>
      <x:c r="R37" s="138"/>
      <x:c r="S37" s="138"/>
      <x:c r="T37" s="138"/>
      <x:c r="U37" s="138"/>
      <x:c r="V37" s="138"/>
      <x:c r="W37" s="138"/>
      <x:c r="X37" s="138"/>
      <x:c r="Y37" s="138"/>
      <x:c r="Z37" s="138"/>
    </x:row>
    <x:row r="38">
      <x:c r="A38" s="138"/>
      <x:c r="B38" s="138"/>
      <x:c r="C38" s="138"/>
      <x:c r="D38" s="138"/>
      <x:c r="E38" s="138"/>
      <x:c r="F38" s="138"/>
      <x:c r="G38" s="138"/>
      <x:c r="H38" s="138"/>
      <x:c r="I38" s="138"/>
      <x:c r="J38" s="138"/>
      <x:c r="K38" s="138"/>
      <x:c r="L38" s="138"/>
      <x:c r="M38" s="138"/>
      <x:c r="N38" s="138"/>
      <x:c r="O38" s="138"/>
      <x:c r="P38" s="138"/>
      <x:c r="Q38" s="138"/>
      <x:c r="R38" s="138"/>
      <x:c r="S38" s="138"/>
      <x:c r="T38" s="138"/>
      <x:c r="U38" s="138"/>
      <x:c r="V38" s="138"/>
      <x:c r="W38" s="138"/>
      <x:c r="X38" s="138"/>
      <x:c r="Y38" s="138"/>
      <x:c r="Z38" s="138"/>
    </x:row>
    <x:row r="39">
      <x:c r="A39" s="138"/>
      <x:c r="B39" s="138"/>
      <x:c r="C39" s="138"/>
      <x:c r="D39" s="138"/>
      <x:c r="E39" s="138"/>
      <x:c r="F39" s="138"/>
      <x:c r="G39" s="138"/>
      <x:c r="H39" s="138"/>
      <x:c r="I39" s="138"/>
      <x:c r="J39" s="138"/>
      <x:c r="K39" s="138"/>
      <x:c r="L39" s="138"/>
      <x:c r="M39" s="138"/>
      <x:c r="N39" s="138"/>
      <x:c r="O39" s="138"/>
      <x:c r="P39" s="138"/>
      <x:c r="Q39" s="138"/>
      <x:c r="R39" s="138"/>
      <x:c r="S39" s="138"/>
      <x:c r="T39" s="138"/>
      <x:c r="U39" s="138"/>
      <x:c r="V39" s="138"/>
      <x:c r="W39" s="138"/>
      <x:c r="X39" s="138"/>
      <x:c r="Y39" s="138"/>
      <x:c r="Z39" s="138"/>
    </x:row>
    <x:row r="40">
      <x:c r="A40" s="138"/>
      <x:c r="B40" s="138"/>
      <x:c r="C40" s="138"/>
      <x:c r="D40" s="138"/>
      <x:c r="E40" s="138"/>
      <x:c r="F40" s="138"/>
      <x:c r="G40" s="138"/>
      <x:c r="H40" s="138"/>
      <x:c r="I40" s="138"/>
      <x:c r="J40" s="138"/>
      <x:c r="K40" s="138"/>
      <x:c r="L40" s="138"/>
      <x:c r="M40" s="138"/>
      <x:c r="N40" s="138"/>
      <x:c r="O40" s="138"/>
      <x:c r="P40" s="138"/>
      <x:c r="Q40" s="138"/>
      <x:c r="R40" s="138"/>
      <x:c r="S40" s="138"/>
      <x:c r="T40" s="138"/>
      <x:c r="U40" s="138"/>
      <x:c r="V40" s="138"/>
      <x:c r="W40" s="138"/>
      <x:c r="X40" s="138"/>
      <x:c r="Y40" s="138"/>
      <x:c r="Z40" s="138"/>
    </x:row>
    <x:row r="41">
      <x:c r="A41" s="138"/>
      <x:c r="B41" s="138"/>
      <x:c r="C41" s="138"/>
      <x:c r="D41" s="138"/>
      <x:c r="E41" s="138"/>
      <x:c r="F41" s="138"/>
      <x:c r="G41" s="138"/>
      <x:c r="H41" s="138"/>
      <x:c r="I41" s="138"/>
      <x:c r="J41" s="138"/>
      <x:c r="K41" s="138"/>
      <x:c r="L41" s="138"/>
      <x:c r="M41" s="138"/>
      <x:c r="N41" s="138"/>
      <x:c r="O41" s="138"/>
      <x:c r="P41" s="138"/>
      <x:c r="Q41" s="138"/>
      <x:c r="R41" s="138"/>
      <x:c r="S41" s="138"/>
      <x:c r="T41" s="138"/>
      <x:c r="U41" s="138"/>
      <x:c r="V41" s="138"/>
      <x:c r="W41" s="138"/>
      <x:c r="X41" s="138"/>
      <x:c r="Y41" s="138"/>
      <x:c r="Z41" s="138"/>
    </x:row>
    <x:row r="42">
      <x:c r="A42" s="138"/>
      <x:c r="B42" s="138"/>
      <x:c r="C42" s="138"/>
      <x:c r="D42" s="138"/>
      <x:c r="E42" s="138"/>
      <x:c r="F42" s="138"/>
      <x:c r="G42" s="138"/>
      <x:c r="H42" s="138"/>
      <x:c r="I42" s="138"/>
      <x:c r="J42" s="138"/>
      <x:c r="K42" s="138"/>
      <x:c r="L42" s="138"/>
      <x:c r="M42" s="138"/>
      <x:c r="N42" s="138"/>
      <x:c r="O42" s="138"/>
      <x:c r="P42" s="138"/>
      <x:c r="Q42" s="138"/>
      <x:c r="R42" s="138"/>
      <x:c r="S42" s="138"/>
      <x:c r="T42" s="138"/>
      <x:c r="U42" s="138"/>
      <x:c r="V42" s="138"/>
      <x:c r="W42" s="138"/>
      <x:c r="X42" s="138"/>
      <x:c r="Y42" s="138"/>
      <x:c r="Z42" s="138"/>
    </x:row>
    <x:row r="43">
      <x:c r="A43" s="138"/>
      <x:c r="B43" s="138"/>
      <x:c r="C43" s="138"/>
      <x:c r="D43" s="138"/>
      <x:c r="E43" s="138"/>
      <x:c r="F43" s="138"/>
      <x:c r="G43" s="138"/>
      <x:c r="H43" s="138"/>
      <x:c r="I43" s="138"/>
      <x:c r="J43" s="138"/>
      <x:c r="K43" s="138"/>
      <x:c r="L43" s="138"/>
      <x:c r="M43" s="138"/>
      <x:c r="N43" s="138"/>
      <x:c r="O43" s="138"/>
      <x:c r="P43" s="138"/>
      <x:c r="Q43" s="138"/>
      <x:c r="R43" s="138"/>
      <x:c r="S43" s="138"/>
      <x:c r="T43" s="138"/>
      <x:c r="U43" s="138"/>
      <x:c r="V43" s="138"/>
      <x:c r="W43" s="138"/>
      <x:c r="X43" s="138"/>
      <x:c r="Y43" s="138"/>
      <x:c r="Z43" s="138"/>
    </x:row>
    <x:row r="44">
      <x:c r="A44" s="138"/>
      <x:c r="B44" s="138"/>
      <x:c r="C44" s="138"/>
      <x:c r="D44" s="138"/>
      <x:c r="E44" s="138"/>
      <x:c r="F44" s="138"/>
      <x:c r="G44" s="138"/>
      <x:c r="H44" s="138"/>
      <x:c r="I44" s="138"/>
      <x:c r="J44" s="138"/>
      <x:c r="K44" s="138"/>
      <x:c r="L44" s="138"/>
      <x:c r="M44" s="138"/>
      <x:c r="N44" s="138"/>
      <x:c r="O44" s="138"/>
      <x:c r="P44" s="138"/>
      <x:c r="Q44" s="138"/>
      <x:c r="R44" s="138"/>
      <x:c r="S44" s="138"/>
      <x:c r="T44" s="138"/>
      <x:c r="U44" s="138"/>
      <x:c r="V44" s="138"/>
      <x:c r="W44" s="138"/>
      <x:c r="X44" s="138"/>
      <x:c r="Y44" s="138"/>
      <x:c r="Z44" s="138"/>
    </x:row>
    <x:row r="45">
      <x:c r="A45" s="138"/>
      <x:c r="B45" s="138"/>
      <x:c r="C45" s="138"/>
      <x:c r="D45" s="138"/>
      <x:c r="E45" s="138"/>
      <x:c r="F45" s="138"/>
      <x:c r="G45" s="138"/>
      <x:c r="H45" s="138"/>
      <x:c r="I45" s="138"/>
      <x:c r="J45" s="138"/>
      <x:c r="K45" s="138"/>
      <x:c r="L45" s="138"/>
      <x:c r="M45" s="138"/>
      <x:c r="N45" s="138"/>
      <x:c r="O45" s="138"/>
      <x:c r="P45" s="138"/>
      <x:c r="Q45" s="138"/>
      <x:c r="R45" s="138"/>
      <x:c r="S45" s="138"/>
      <x:c r="T45" s="138"/>
      <x:c r="U45" s="138"/>
      <x:c r="V45" s="138"/>
      <x:c r="W45" s="138"/>
      <x:c r="X45" s="138"/>
      <x:c r="Y45" s="138"/>
      <x:c r="Z45" s="138"/>
    </x:row>
    <x:row r="46">
      <x:c r="A46" s="138"/>
      <x:c r="B46" s="138"/>
      <x:c r="C46" s="138"/>
      <x:c r="D46" s="138"/>
      <x:c r="E46" s="138"/>
      <x:c r="F46" s="138"/>
      <x:c r="G46" s="138"/>
      <x:c r="H46" s="138"/>
      <x:c r="I46" s="138"/>
      <x:c r="J46" s="138"/>
      <x:c r="K46" s="138"/>
      <x:c r="L46" s="138"/>
      <x:c r="M46" s="138"/>
      <x:c r="N46" s="138"/>
      <x:c r="O46" s="138"/>
      <x:c r="P46" s="138"/>
      <x:c r="Q46" s="138"/>
      <x:c r="R46" s="138"/>
      <x:c r="S46" s="138"/>
      <x:c r="T46" s="138"/>
      <x:c r="U46" s="138"/>
      <x:c r="V46" s="138"/>
      <x:c r="W46" s="138"/>
      <x:c r="X46" s="138"/>
      <x:c r="Y46" s="138"/>
      <x:c r="Z46" s="138"/>
    </x:row>
    <x:row r="47">
      <x:c r="A47" s="138"/>
      <x:c r="B47" s="138"/>
      <x:c r="C47" s="138"/>
      <x:c r="D47" s="138"/>
      <x:c r="E47" s="138"/>
      <x:c r="F47" s="138"/>
      <x:c r="G47" s="138"/>
      <x:c r="H47" s="138"/>
      <x:c r="I47" s="138"/>
      <x:c r="J47" s="138"/>
      <x:c r="K47" s="138"/>
      <x:c r="L47" s="138"/>
      <x:c r="M47" s="138"/>
      <x:c r="N47" s="138"/>
      <x:c r="O47" s="138"/>
      <x:c r="P47" s="138"/>
      <x:c r="Q47" s="138"/>
      <x:c r="R47" s="138"/>
      <x:c r="S47" s="138"/>
      <x:c r="T47" s="138"/>
      <x:c r="U47" s="138"/>
      <x:c r="V47" s="138"/>
      <x:c r="W47" s="138"/>
      <x:c r="X47" s="138"/>
      <x:c r="Y47" s="138"/>
      <x:c r="Z47" s="138"/>
    </x:row>
    <x:row r="48">
      <x:c r="A48" s="138"/>
      <x:c r="B48" s="138"/>
      <x:c r="C48" s="138"/>
      <x:c r="D48" s="138"/>
      <x:c r="E48" s="138"/>
      <x:c r="F48" s="138"/>
      <x:c r="G48" s="138"/>
      <x:c r="H48" s="138"/>
      <x:c r="I48" s="138"/>
      <x:c r="J48" s="138"/>
      <x:c r="K48" s="138"/>
      <x:c r="L48" s="138"/>
      <x:c r="M48" s="138"/>
      <x:c r="N48" s="138"/>
      <x:c r="O48" s="138"/>
      <x:c r="P48" s="138"/>
      <x:c r="Q48" s="138"/>
      <x:c r="R48" s="138"/>
      <x:c r="S48" s="138"/>
      <x:c r="T48" s="138"/>
      <x:c r="U48" s="138"/>
      <x:c r="V48" s="138"/>
      <x:c r="W48" s="138"/>
      <x:c r="X48" s="138"/>
      <x:c r="Y48" s="138"/>
      <x:c r="Z48" s="138"/>
    </x:row>
    <x:row r="49">
      <x:c r="A49" s="138"/>
      <x:c r="B49" s="138"/>
      <x:c r="C49" s="138"/>
      <x:c r="D49" s="138"/>
      <x:c r="E49" s="138"/>
      <x:c r="F49" s="138"/>
      <x:c r="G49" s="138"/>
      <x:c r="H49" s="138"/>
      <x:c r="I49" s="138"/>
      <x:c r="J49" s="138"/>
      <x:c r="K49" s="138"/>
      <x:c r="L49" s="138"/>
      <x:c r="M49" s="138"/>
      <x:c r="N49" s="138"/>
      <x:c r="O49" s="138"/>
      <x:c r="P49" s="138"/>
      <x:c r="Q49" s="138"/>
      <x:c r="R49" s="138"/>
      <x:c r="S49" s="138"/>
      <x:c r="T49" s="138"/>
      <x:c r="U49" s="138"/>
      <x:c r="V49" s="138"/>
      <x:c r="W49" s="138"/>
      <x:c r="X49" s="138"/>
      <x:c r="Y49" s="138"/>
      <x:c r="Z49" s="138"/>
    </x:row>
    <x:row r="50">
      <x:c r="A50" s="138"/>
      <x:c r="B50" s="138"/>
      <x:c r="C50" s="138"/>
      <x:c r="D50" s="138"/>
      <x:c r="E50" s="138"/>
      <x:c r="F50" s="138"/>
      <x:c r="G50" s="138"/>
      <x:c r="H50" s="138"/>
      <x:c r="I50" s="138"/>
      <x:c r="J50" s="138"/>
      <x:c r="K50" s="138"/>
      <x:c r="L50" s="138"/>
      <x:c r="M50" s="138"/>
      <x:c r="N50" s="138"/>
      <x:c r="O50" s="138"/>
      <x:c r="P50" s="138"/>
      <x:c r="Q50" s="138"/>
      <x:c r="R50" s="138"/>
      <x:c r="S50" s="138"/>
      <x:c r="T50" s="138"/>
      <x:c r="U50" s="138"/>
      <x:c r="V50" s="138"/>
      <x:c r="W50" s="138"/>
      <x:c r="X50" s="138"/>
      <x:c r="Y50" s="138"/>
      <x:c r="Z50" s="138"/>
    </x:row>
    <x:row r="51">
      <x:c r="A51" s="138"/>
      <x:c r="B51" s="138"/>
      <x:c r="C51" s="138"/>
      <x:c r="D51" s="138"/>
      <x:c r="E51" s="138"/>
      <x:c r="F51" s="138"/>
      <x:c r="G51" s="138"/>
      <x:c r="H51" s="138"/>
      <x:c r="I51" s="138"/>
      <x:c r="J51" s="138"/>
      <x:c r="K51" s="138"/>
      <x:c r="L51" s="138"/>
      <x:c r="M51" s="138"/>
      <x:c r="N51" s="138"/>
      <x:c r="O51" s="138"/>
      <x:c r="P51" s="138"/>
      <x:c r="Q51" s="138"/>
      <x:c r="R51" s="138"/>
      <x:c r="S51" s="138"/>
      <x:c r="T51" s="138"/>
      <x:c r="U51" s="138"/>
      <x:c r="V51" s="138"/>
      <x:c r="W51" s="138"/>
      <x:c r="X51" s="138"/>
      <x:c r="Y51" s="138"/>
      <x:c r="Z51" s="138"/>
    </x:row>
    <x:row r="52">
      <x:c r="A52" s="138"/>
      <x:c r="B52" s="138"/>
      <x:c r="C52" s="138"/>
      <x:c r="D52" s="138"/>
      <x:c r="E52" s="138"/>
      <x:c r="F52" s="138"/>
      <x:c r="G52" s="138"/>
      <x:c r="H52" s="138"/>
      <x:c r="I52" s="138"/>
      <x:c r="J52" s="138"/>
      <x:c r="K52" s="138"/>
      <x:c r="L52" s="138"/>
      <x:c r="M52" s="138"/>
      <x:c r="N52" s="138"/>
      <x:c r="O52" s="138"/>
      <x:c r="P52" s="138"/>
      <x:c r="Q52" s="138"/>
      <x:c r="R52" s="138"/>
      <x:c r="S52" s="138"/>
      <x:c r="T52" s="138"/>
      <x:c r="U52" s="138"/>
      <x:c r="V52" s="138"/>
      <x:c r="W52" s="138"/>
      <x:c r="X52" s="138"/>
      <x:c r="Y52" s="138"/>
      <x:c r="Z52" s="138"/>
    </x:row>
    <x:row r="53">
      <x:c r="A53" s="138"/>
      <x:c r="B53" s="138"/>
      <x:c r="C53" s="138"/>
      <x:c r="D53" s="138"/>
      <x:c r="E53" s="138"/>
      <x:c r="F53" s="138"/>
      <x:c r="G53" s="138"/>
      <x:c r="H53" s="138"/>
      <x:c r="I53" s="138"/>
      <x:c r="J53" s="138"/>
      <x:c r="K53" s="138"/>
      <x:c r="L53" s="138"/>
      <x:c r="M53" s="138"/>
      <x:c r="N53" s="138"/>
      <x:c r="O53" s="138"/>
      <x:c r="P53" s="138"/>
      <x:c r="Q53" s="138"/>
      <x:c r="R53" s="138"/>
      <x:c r="S53" s="138"/>
      <x:c r="T53" s="138"/>
      <x:c r="U53" s="138"/>
      <x:c r="V53" s="138"/>
      <x:c r="W53" s="138"/>
      <x:c r="X53" s="138"/>
      <x:c r="Y53" s="138"/>
      <x:c r="Z53" s="138"/>
    </x:row>
    <x:row r="54">
      <x:c r="A54" s="138"/>
      <x:c r="B54" s="138"/>
      <x:c r="C54" s="138"/>
      <x:c r="D54" s="138"/>
      <x:c r="E54" s="138"/>
      <x:c r="F54" s="138"/>
      <x:c r="G54" s="138"/>
      <x:c r="H54" s="138"/>
      <x:c r="I54" s="138"/>
      <x:c r="J54" s="138"/>
      <x:c r="K54" s="138"/>
      <x:c r="L54" s="138"/>
      <x:c r="M54" s="138"/>
      <x:c r="N54" s="138"/>
      <x:c r="O54" s="138"/>
      <x:c r="P54" s="138"/>
      <x:c r="Q54" s="138"/>
      <x:c r="R54" s="138"/>
      <x:c r="S54" s="138"/>
      <x:c r="T54" s="138"/>
      <x:c r="U54" s="138"/>
      <x:c r="V54" s="138"/>
      <x:c r="W54" s="138"/>
      <x:c r="X54" s="138"/>
      <x:c r="Y54" s="138"/>
      <x:c r="Z54" s="138"/>
    </x:row>
    <x:row r="55">
      <x:c r="A55" s="138"/>
      <x:c r="B55" s="138"/>
      <x:c r="C55" s="138"/>
      <x:c r="D55" s="138"/>
      <x:c r="E55" s="138"/>
      <x:c r="F55" s="138"/>
      <x:c r="G55" s="138"/>
      <x:c r="H55" s="138"/>
      <x:c r="I55" s="138"/>
      <x:c r="J55" s="138"/>
      <x:c r="K55" s="138"/>
      <x:c r="L55" s="138"/>
      <x:c r="M55" s="138"/>
      <x:c r="N55" s="138"/>
      <x:c r="O55" s="138"/>
      <x:c r="P55" s="138"/>
      <x:c r="Q55" s="138"/>
      <x:c r="R55" s="138"/>
      <x:c r="S55" s="138"/>
      <x:c r="T55" s="138"/>
      <x:c r="U55" s="138"/>
      <x:c r="V55" s="138"/>
      <x:c r="W55" s="138"/>
      <x:c r="X55" s="138"/>
      <x:c r="Y55" s="138"/>
      <x:c r="Z55" s="138"/>
    </x:row>
    <x:row r="56">
      <x:c r="A56" s="138"/>
      <x:c r="B56" s="138"/>
      <x:c r="C56" s="138"/>
      <x:c r="D56" s="138"/>
      <x:c r="E56" s="138"/>
      <x:c r="F56" s="138"/>
      <x:c r="G56" s="138"/>
      <x:c r="H56" s="138"/>
      <x:c r="I56" s="138"/>
      <x:c r="J56" s="138"/>
      <x:c r="K56" s="138"/>
      <x:c r="L56" s="138"/>
      <x:c r="M56" s="138"/>
      <x:c r="N56" s="138"/>
      <x:c r="O56" s="138"/>
      <x:c r="P56" s="138"/>
      <x:c r="Q56" s="138"/>
      <x:c r="R56" s="138"/>
      <x:c r="S56" s="138"/>
      <x:c r="T56" s="138"/>
      <x:c r="U56" s="138"/>
      <x:c r="V56" s="138"/>
      <x:c r="W56" s="138"/>
      <x:c r="X56" s="138"/>
      <x:c r="Y56" s="138"/>
      <x:c r="Z56" s="138"/>
    </x:row>
    <x:row r="57">
      <x:c r="A57" s="138"/>
      <x:c r="B57" s="138"/>
      <x:c r="C57" s="138"/>
      <x:c r="D57" s="138"/>
      <x:c r="E57" s="138"/>
      <x:c r="F57" s="138"/>
      <x:c r="G57" s="138"/>
      <x:c r="H57" s="138"/>
      <x:c r="I57" s="138"/>
      <x:c r="J57" s="138"/>
      <x:c r="K57" s="138"/>
      <x:c r="L57" s="138"/>
      <x:c r="M57" s="138"/>
      <x:c r="N57" s="138"/>
      <x:c r="O57" s="138"/>
      <x:c r="P57" s="138"/>
      <x:c r="Q57" s="138"/>
      <x:c r="R57" s="138"/>
      <x:c r="S57" s="138"/>
      <x:c r="T57" s="138"/>
      <x:c r="U57" s="138"/>
      <x:c r="V57" s="138"/>
      <x:c r="W57" s="138"/>
      <x:c r="X57" s="138"/>
      <x:c r="Y57" s="138"/>
      <x:c r="Z57" s="138"/>
    </x:row>
    <x:row r="58">
      <x:c r="A58" s="138"/>
      <x:c r="B58" s="138"/>
      <x:c r="C58" s="138"/>
      <x:c r="D58" s="138"/>
      <x:c r="E58" s="138"/>
      <x:c r="F58" s="138"/>
      <x:c r="G58" s="138"/>
      <x:c r="H58" s="138"/>
      <x:c r="I58" s="138"/>
      <x:c r="J58" s="138"/>
      <x:c r="K58" s="138"/>
      <x:c r="L58" s="138"/>
      <x:c r="M58" s="138"/>
      <x:c r="N58" s="138"/>
      <x:c r="O58" s="138"/>
      <x:c r="P58" s="138"/>
      <x:c r="Q58" s="138"/>
      <x:c r="R58" s="138"/>
      <x:c r="S58" s="138"/>
      <x:c r="T58" s="138"/>
      <x:c r="U58" s="138"/>
      <x:c r="V58" s="138"/>
      <x:c r="W58" s="138"/>
      <x:c r="X58" s="138"/>
      <x:c r="Y58" s="138"/>
      <x:c r="Z58" s="138"/>
    </x:row>
    <x:row r="59">
      <x:c r="A59" s="138"/>
      <x:c r="B59" s="138"/>
      <x:c r="C59" s="138"/>
      <x:c r="D59" s="138"/>
      <x:c r="E59" s="138"/>
      <x:c r="F59" s="138"/>
      <x:c r="G59" s="138"/>
      <x:c r="H59" s="138"/>
      <x:c r="I59" s="138"/>
      <x:c r="J59" s="138"/>
      <x:c r="K59" s="138"/>
      <x:c r="L59" s="138"/>
      <x:c r="M59" s="138"/>
      <x:c r="N59" s="138"/>
      <x:c r="O59" s="138"/>
      <x:c r="P59" s="138"/>
      <x:c r="Q59" s="138"/>
      <x:c r="R59" s="138"/>
      <x:c r="S59" s="138"/>
      <x:c r="T59" s="138"/>
      <x:c r="U59" s="138"/>
      <x:c r="V59" s="138"/>
      <x:c r="W59" s="138"/>
      <x:c r="X59" s="138"/>
      <x:c r="Y59" s="138"/>
      <x:c r="Z59" s="138"/>
    </x:row>
    <x:row r="60">
      <x:c r="A60" s="138"/>
      <x:c r="B60" s="138"/>
      <x:c r="C60" s="138"/>
      <x:c r="D60" s="138"/>
      <x:c r="E60" s="138"/>
      <x:c r="F60" s="138"/>
      <x:c r="G60" s="138"/>
      <x:c r="H60" s="138"/>
      <x:c r="I60" s="138"/>
      <x:c r="J60" s="138"/>
      <x:c r="K60" s="138"/>
      <x:c r="L60" s="138"/>
      <x:c r="M60" s="138"/>
      <x:c r="N60" s="138"/>
      <x:c r="O60" s="138"/>
      <x:c r="P60" s="138"/>
      <x:c r="Q60" s="138"/>
      <x:c r="R60" s="138"/>
      <x:c r="S60" s="138"/>
      <x:c r="T60" s="138"/>
      <x:c r="U60" s="138"/>
      <x:c r="V60" s="138"/>
      <x:c r="W60" s="138"/>
      <x:c r="X60" s="138"/>
      <x:c r="Y60" s="138"/>
      <x:c r="Z60" s="138"/>
    </x:row>
    <x:row r="61">
      <x:c r="A61" s="138"/>
      <x:c r="B61" s="138"/>
      <x:c r="C61" s="138"/>
      <x:c r="D61" s="138"/>
      <x:c r="E61" s="138"/>
      <x:c r="F61" s="138"/>
      <x:c r="G61" s="138"/>
      <x:c r="H61" s="138"/>
      <x:c r="I61" s="138"/>
      <x:c r="J61" s="138"/>
      <x:c r="K61" s="138"/>
      <x:c r="L61" s="138"/>
      <x:c r="M61" s="138"/>
      <x:c r="N61" s="138"/>
      <x:c r="O61" s="138"/>
      <x:c r="P61" s="138"/>
      <x:c r="Q61" s="138"/>
      <x:c r="R61" s="138"/>
      <x:c r="S61" s="138"/>
      <x:c r="T61" s="138"/>
      <x:c r="U61" s="138"/>
      <x:c r="V61" s="138"/>
      <x:c r="W61" s="138"/>
      <x:c r="X61" s="138"/>
      <x:c r="Y61" s="138"/>
      <x:c r="Z61" s="138"/>
    </x:row>
    <x:row r="62">
      <x:c r="A62" s="138"/>
      <x:c r="B62" s="138"/>
      <x:c r="C62" s="138"/>
      <x:c r="D62" s="138"/>
      <x:c r="E62" s="138"/>
      <x:c r="F62" s="138"/>
      <x:c r="G62" s="138"/>
      <x:c r="H62" s="138"/>
      <x:c r="I62" s="138"/>
      <x:c r="J62" s="138"/>
      <x:c r="K62" s="138"/>
      <x:c r="L62" s="138"/>
      <x:c r="M62" s="138"/>
      <x:c r="N62" s="138"/>
      <x:c r="O62" s="138"/>
      <x:c r="P62" s="138"/>
      <x:c r="Q62" s="138"/>
      <x:c r="R62" s="138"/>
      <x:c r="S62" s="138"/>
      <x:c r="T62" s="138"/>
      <x:c r="U62" s="138"/>
      <x:c r="V62" s="138"/>
      <x:c r="W62" s="138"/>
      <x:c r="X62" s="138"/>
      <x:c r="Y62" s="138"/>
      <x:c r="Z62" s="138"/>
    </x:row>
    <x:row r="63">
      <x:c r="A63" s="138"/>
      <x:c r="B63" s="138"/>
      <x:c r="C63" s="138"/>
      <x:c r="D63" s="138"/>
      <x:c r="E63" s="138"/>
      <x:c r="F63" s="138"/>
      <x:c r="G63" s="138"/>
      <x:c r="H63" s="138"/>
      <x:c r="I63" s="138"/>
      <x:c r="J63" s="138"/>
      <x:c r="K63" s="138"/>
      <x:c r="L63" s="138"/>
      <x:c r="M63" s="138"/>
      <x:c r="N63" s="138"/>
      <x:c r="O63" s="138"/>
      <x:c r="P63" s="138"/>
      <x:c r="Q63" s="138"/>
      <x:c r="R63" s="138"/>
      <x:c r="S63" s="138"/>
      <x:c r="T63" s="138"/>
      <x:c r="U63" s="138"/>
      <x:c r="V63" s="138"/>
      <x:c r="W63" s="138"/>
      <x:c r="X63" s="138"/>
      <x:c r="Y63" s="138"/>
      <x:c r="Z63" s="138"/>
    </x:row>
    <x:row r="64">
      <x:c r="A64" s="138"/>
      <x:c r="B64" s="138"/>
      <x:c r="C64" s="138"/>
      <x:c r="D64" s="138"/>
      <x:c r="E64" s="138"/>
      <x:c r="F64" s="138"/>
      <x:c r="G64" s="138"/>
      <x:c r="H64" s="138"/>
      <x:c r="I64" s="138"/>
      <x:c r="J64" s="138"/>
      <x:c r="K64" s="138"/>
      <x:c r="L64" s="138"/>
      <x:c r="M64" s="138"/>
      <x:c r="N64" s="138"/>
      <x:c r="O64" s="138"/>
      <x:c r="P64" s="138"/>
      <x:c r="Q64" s="138"/>
      <x:c r="R64" s="138"/>
      <x:c r="S64" s="138"/>
      <x:c r="T64" s="138"/>
      <x:c r="U64" s="138"/>
      <x:c r="V64" s="138"/>
      <x:c r="W64" s="138"/>
      <x:c r="X64" s="138"/>
      <x:c r="Y64" s="138"/>
      <x:c r="Z64" s="138"/>
    </x:row>
    <x:row r="65">
      <x:c r="A65" s="138"/>
      <x:c r="B65" s="138"/>
      <x:c r="C65" s="138"/>
      <x:c r="D65" s="138"/>
      <x:c r="E65" s="138"/>
      <x:c r="F65" s="138"/>
      <x:c r="G65" s="138"/>
      <x:c r="H65" s="138"/>
      <x:c r="I65" s="138"/>
      <x:c r="J65" s="138"/>
      <x:c r="K65" s="138"/>
      <x:c r="L65" s="138"/>
      <x:c r="M65" s="138"/>
      <x:c r="N65" s="138"/>
      <x:c r="O65" s="138"/>
      <x:c r="P65" s="138"/>
      <x:c r="Q65" s="138"/>
      <x:c r="R65" s="138"/>
      <x:c r="S65" s="138"/>
      <x:c r="T65" s="138"/>
      <x:c r="U65" s="138"/>
      <x:c r="V65" s="138"/>
      <x:c r="W65" s="138"/>
      <x:c r="X65" s="138"/>
      <x:c r="Y65" s="138"/>
      <x:c r="Z65" s="138"/>
    </x:row>
    <x:row r="66">
      <x:c r="A66" s="138"/>
      <x:c r="B66" s="138"/>
      <x:c r="C66" s="138"/>
      <x:c r="D66" s="138"/>
      <x:c r="E66" s="138"/>
      <x:c r="F66" s="138"/>
      <x:c r="G66" s="138"/>
      <x:c r="H66" s="138"/>
      <x:c r="I66" s="138"/>
      <x:c r="J66" s="138"/>
      <x:c r="K66" s="138"/>
      <x:c r="L66" s="138"/>
      <x:c r="M66" s="138"/>
      <x:c r="N66" s="138"/>
      <x:c r="O66" s="138"/>
      <x:c r="P66" s="138"/>
      <x:c r="Q66" s="138"/>
      <x:c r="R66" s="138"/>
      <x:c r="S66" s="138"/>
      <x:c r="T66" s="138"/>
      <x:c r="U66" s="138"/>
      <x:c r="V66" s="138"/>
      <x:c r="W66" s="138"/>
      <x:c r="X66" s="138"/>
      <x:c r="Y66" s="138"/>
      <x:c r="Z66" s="138"/>
    </x:row>
    <x:row r="67">
      <x:c r="A67" s="138"/>
      <x:c r="B67" s="138"/>
      <x:c r="C67" s="138"/>
      <x:c r="D67" s="138"/>
      <x:c r="E67" s="138"/>
      <x:c r="F67" s="138"/>
      <x:c r="G67" s="138"/>
      <x:c r="H67" s="138"/>
      <x:c r="I67" s="138"/>
      <x:c r="J67" s="138"/>
      <x:c r="K67" s="138"/>
      <x:c r="L67" s="138"/>
      <x:c r="M67" s="138"/>
      <x:c r="N67" s="138"/>
      <x:c r="O67" s="138"/>
      <x:c r="P67" s="138"/>
      <x:c r="Q67" s="138"/>
      <x:c r="R67" s="138"/>
      <x:c r="S67" s="138"/>
      <x:c r="T67" s="138"/>
      <x:c r="U67" s="138"/>
      <x:c r="V67" s="138"/>
      <x:c r="W67" s="138"/>
      <x:c r="X67" s="138"/>
      <x:c r="Y67" s="138"/>
      <x:c r="Z67" s="138"/>
    </x:row>
    <x:row r="68">
      <x:c r="A68" s="138"/>
      <x:c r="B68" s="138"/>
      <x:c r="C68" s="138"/>
      <x:c r="D68" s="138"/>
      <x:c r="E68" s="138"/>
      <x:c r="F68" s="138"/>
      <x:c r="G68" s="138"/>
      <x:c r="H68" s="138"/>
      <x:c r="I68" s="138"/>
      <x:c r="J68" s="138"/>
      <x:c r="K68" s="138"/>
      <x:c r="L68" s="138"/>
      <x:c r="M68" s="138"/>
      <x:c r="N68" s="138"/>
      <x:c r="O68" s="138"/>
      <x:c r="P68" s="138"/>
      <x:c r="Q68" s="138"/>
      <x:c r="R68" s="138"/>
      <x:c r="S68" s="138"/>
      <x:c r="T68" s="138"/>
      <x:c r="U68" s="138"/>
      <x:c r="V68" s="138"/>
      <x:c r="W68" s="138"/>
      <x:c r="X68" s="138"/>
      <x:c r="Y68" s="138"/>
      <x:c r="Z68" s="138"/>
    </x:row>
    <x:row r="69">
      <x:c r="A69" s="138"/>
      <x:c r="B69" s="138"/>
      <x:c r="C69" s="138"/>
      <x:c r="D69" s="138"/>
      <x:c r="E69" s="138"/>
      <x:c r="F69" s="138"/>
      <x:c r="G69" s="138"/>
      <x:c r="H69" s="138"/>
      <x:c r="I69" s="138"/>
      <x:c r="J69" s="138"/>
      <x:c r="K69" s="138"/>
      <x:c r="L69" s="138"/>
      <x:c r="M69" s="138"/>
      <x:c r="N69" s="138"/>
      <x:c r="O69" s="138"/>
      <x:c r="P69" s="138"/>
      <x:c r="Q69" s="138"/>
      <x:c r="R69" s="138"/>
      <x:c r="S69" s="138"/>
      <x:c r="T69" s="138"/>
      <x:c r="U69" s="138"/>
      <x:c r="V69" s="138"/>
      <x:c r="W69" s="138"/>
      <x:c r="X69" s="138"/>
      <x:c r="Y69" s="138"/>
      <x:c r="Z69" s="138"/>
    </x:row>
    <x:row r="70">
      <x:c r="A70" s="138"/>
      <x:c r="B70" s="138"/>
      <x:c r="C70" s="138"/>
      <x:c r="D70" s="138"/>
      <x:c r="E70" s="138"/>
      <x:c r="F70" s="138"/>
      <x:c r="G70" s="138"/>
      <x:c r="H70" s="138"/>
      <x:c r="I70" s="138"/>
      <x:c r="J70" s="138"/>
      <x:c r="K70" s="138"/>
      <x:c r="L70" s="138"/>
      <x:c r="M70" s="138"/>
      <x:c r="N70" s="138"/>
      <x:c r="O70" s="138"/>
      <x:c r="P70" s="138"/>
      <x:c r="Q70" s="138"/>
      <x:c r="R70" s="138"/>
      <x:c r="S70" s="138"/>
      <x:c r="T70" s="138"/>
      <x:c r="U70" s="138"/>
      <x:c r="V70" s="138"/>
      <x:c r="W70" s="138"/>
      <x:c r="X70" s="138"/>
      <x:c r="Y70" s="138"/>
      <x:c r="Z70" s="138"/>
    </x:row>
    <x:row r="71">
      <x:c r="A71" s="138"/>
      <x:c r="B71" s="138"/>
      <x:c r="C71" s="138"/>
      <x:c r="D71" s="138"/>
      <x:c r="E71" s="138"/>
      <x:c r="F71" s="138"/>
      <x:c r="G71" s="138"/>
      <x:c r="H71" s="138"/>
      <x:c r="I71" s="138"/>
      <x:c r="J71" s="138"/>
      <x:c r="K71" s="138"/>
      <x:c r="L71" s="138"/>
      <x:c r="M71" s="138"/>
      <x:c r="N71" s="138"/>
      <x:c r="O71" s="138"/>
      <x:c r="P71" s="138"/>
      <x:c r="Q71" s="138"/>
      <x:c r="R71" s="138"/>
      <x:c r="S71" s="138"/>
      <x:c r="T71" s="138"/>
      <x:c r="U71" s="138"/>
      <x:c r="V71" s="138"/>
      <x:c r="W71" s="138"/>
      <x:c r="X71" s="138"/>
      <x:c r="Y71" s="138"/>
      <x:c r="Z71" s="138"/>
    </x:row>
    <x:row r="72">
      <x:c r="A72" s="138"/>
      <x:c r="B72" s="138"/>
      <x:c r="C72" s="138"/>
      <x:c r="D72" s="138"/>
      <x:c r="E72" s="138"/>
      <x:c r="F72" s="138"/>
      <x:c r="G72" s="138"/>
      <x:c r="H72" s="138"/>
      <x:c r="I72" s="138"/>
      <x:c r="J72" s="138"/>
      <x:c r="K72" s="138"/>
      <x:c r="L72" s="138"/>
      <x:c r="M72" s="138"/>
      <x:c r="N72" s="138"/>
      <x:c r="O72" s="138"/>
      <x:c r="P72" s="138"/>
      <x:c r="Q72" s="138"/>
      <x:c r="R72" s="138"/>
      <x:c r="S72" s="138"/>
      <x:c r="T72" s="138"/>
      <x:c r="U72" s="138"/>
      <x:c r="V72" s="138"/>
      <x:c r="W72" s="138"/>
      <x:c r="X72" s="138"/>
      <x:c r="Y72" s="138"/>
      <x:c r="Z72" s="138"/>
    </x:row>
    <x:row r="73">
      <x:c r="A73" s="138"/>
      <x:c r="B73" s="138"/>
      <x:c r="C73" s="138"/>
      <x:c r="D73" s="138"/>
      <x:c r="E73" s="138"/>
      <x:c r="F73" s="138"/>
      <x:c r="G73" s="138"/>
      <x:c r="H73" s="138"/>
      <x:c r="I73" s="138"/>
      <x:c r="J73" s="138"/>
      <x:c r="K73" s="138"/>
      <x:c r="L73" s="138"/>
      <x:c r="M73" s="138"/>
      <x:c r="N73" s="138"/>
      <x:c r="O73" s="138"/>
      <x:c r="P73" s="138"/>
      <x:c r="Q73" s="138"/>
      <x:c r="R73" s="138"/>
      <x:c r="S73" s="138"/>
      <x:c r="T73" s="138"/>
      <x:c r="U73" s="138"/>
      <x:c r="V73" s="138"/>
      <x:c r="W73" s="138"/>
      <x:c r="X73" s="138"/>
      <x:c r="Y73" s="138"/>
      <x:c r="Z73" s="138"/>
    </x:row>
    <x:row r="74">
      <x:c r="A74" s="138"/>
      <x:c r="B74" s="138"/>
      <x:c r="C74" s="138"/>
      <x:c r="D74" s="138"/>
      <x:c r="E74" s="138"/>
      <x:c r="F74" s="138"/>
      <x:c r="G74" s="138"/>
      <x:c r="H74" s="138"/>
      <x:c r="I74" s="138"/>
      <x:c r="J74" s="138"/>
      <x:c r="K74" s="138"/>
      <x:c r="L74" s="138"/>
      <x:c r="M74" s="138"/>
      <x:c r="N74" s="138"/>
      <x:c r="O74" s="138"/>
      <x:c r="P74" s="138"/>
      <x:c r="Q74" s="138"/>
      <x:c r="R74" s="138"/>
      <x:c r="S74" s="138"/>
      <x:c r="T74" s="138"/>
      <x:c r="U74" s="138"/>
      <x:c r="V74" s="138"/>
      <x:c r="W74" s="138"/>
      <x:c r="X74" s="138"/>
      <x:c r="Y74" s="138"/>
      <x:c r="Z74" s="138"/>
    </x:row>
    <x:row r="75">
      <x:c r="A75" s="138"/>
      <x:c r="B75" s="138"/>
      <x:c r="C75" s="138"/>
      <x:c r="D75" s="138"/>
      <x:c r="E75" s="138"/>
      <x:c r="F75" s="138"/>
      <x:c r="G75" s="138"/>
      <x:c r="H75" s="138"/>
      <x:c r="I75" s="138"/>
      <x:c r="J75" s="138"/>
      <x:c r="K75" s="138"/>
      <x:c r="L75" s="138"/>
      <x:c r="M75" s="138"/>
      <x:c r="N75" s="138"/>
      <x:c r="O75" s="138"/>
      <x:c r="P75" s="138"/>
      <x:c r="Q75" s="138"/>
      <x:c r="R75" s="138"/>
      <x:c r="S75" s="138"/>
      <x:c r="T75" s="138"/>
      <x:c r="U75" s="138"/>
      <x:c r="V75" s="138"/>
      <x:c r="W75" s="138"/>
      <x:c r="X75" s="138"/>
      <x:c r="Y75" s="138"/>
      <x:c r="Z75" s="138"/>
    </x:row>
    <x:row r="76">
      <x:c r="A76" s="138"/>
      <x:c r="B76" s="138"/>
      <x:c r="C76" s="138"/>
      <x:c r="D76" s="138"/>
      <x:c r="E76" s="138"/>
      <x:c r="F76" s="138"/>
      <x:c r="G76" s="138"/>
      <x:c r="H76" s="138"/>
      <x:c r="I76" s="138"/>
      <x:c r="J76" s="138"/>
      <x:c r="K76" s="138"/>
      <x:c r="L76" s="138"/>
      <x:c r="M76" s="138"/>
      <x:c r="N76" s="138"/>
      <x:c r="O76" s="138"/>
      <x:c r="P76" s="138"/>
      <x:c r="Q76" s="138"/>
      <x:c r="R76" s="138"/>
      <x:c r="S76" s="138"/>
      <x:c r="T76" s="138"/>
      <x:c r="U76" s="138"/>
      <x:c r="V76" s="138"/>
      <x:c r="W76" s="138"/>
      <x:c r="X76" s="138"/>
      <x:c r="Y76" s="138"/>
      <x:c r="Z76" s="138"/>
    </x:row>
    <x:row r="77">
      <x:c r="A77" s="138"/>
      <x:c r="B77" s="138"/>
      <x:c r="C77" s="138"/>
      <x:c r="D77" s="138"/>
      <x:c r="E77" s="138"/>
      <x:c r="F77" s="138"/>
      <x:c r="G77" s="138"/>
      <x:c r="H77" s="138"/>
      <x:c r="I77" s="138"/>
      <x:c r="J77" s="138"/>
      <x:c r="K77" s="138"/>
      <x:c r="L77" s="138"/>
      <x:c r="M77" s="138"/>
      <x:c r="N77" s="138"/>
      <x:c r="O77" s="138"/>
      <x:c r="P77" s="138"/>
      <x:c r="Q77" s="138"/>
      <x:c r="R77" s="138"/>
      <x:c r="S77" s="138"/>
      <x:c r="T77" s="138"/>
      <x:c r="U77" s="138"/>
      <x:c r="V77" s="138"/>
      <x:c r="W77" s="138"/>
      <x:c r="X77" s="138"/>
      <x:c r="Y77" s="138"/>
      <x:c r="Z77" s="138"/>
    </x:row>
    <x:row r="78">
      <x:c r="A78" s="138"/>
      <x:c r="B78" s="138"/>
      <x:c r="C78" s="138"/>
      <x:c r="D78" s="138"/>
      <x:c r="E78" s="138"/>
      <x:c r="F78" s="138"/>
      <x:c r="G78" s="138"/>
      <x:c r="H78" s="138"/>
      <x:c r="I78" s="138"/>
      <x:c r="J78" s="138"/>
      <x:c r="K78" s="138"/>
      <x:c r="L78" s="138"/>
      <x:c r="M78" s="138"/>
      <x:c r="N78" s="138"/>
      <x:c r="O78" s="138"/>
      <x:c r="P78" s="138"/>
      <x:c r="Q78" s="138"/>
      <x:c r="R78" s="138"/>
      <x:c r="S78" s="138"/>
      <x:c r="T78" s="138"/>
      <x:c r="U78" s="138"/>
      <x:c r="V78" s="138"/>
      <x:c r="W78" s="138"/>
      <x:c r="X78" s="138"/>
      <x:c r="Y78" s="138"/>
      <x:c r="Z78" s="138"/>
    </x:row>
    <x:row r="79">
      <x:c r="A79" s="138"/>
      <x:c r="B79" s="138"/>
      <x:c r="C79" s="138"/>
      <x:c r="D79" s="138"/>
      <x:c r="E79" s="138"/>
      <x:c r="F79" s="138"/>
      <x:c r="G79" s="138"/>
      <x:c r="H79" s="138"/>
      <x:c r="I79" s="138"/>
      <x:c r="J79" s="138"/>
      <x:c r="K79" s="138"/>
      <x:c r="L79" s="138"/>
      <x:c r="M79" s="138"/>
      <x:c r="N79" s="138"/>
      <x:c r="O79" s="138"/>
      <x:c r="P79" s="138"/>
      <x:c r="Q79" s="138"/>
      <x:c r="R79" s="138"/>
      <x:c r="S79" s="138"/>
      <x:c r="T79" s="138"/>
      <x:c r="U79" s="138"/>
      <x:c r="V79" s="138"/>
      <x:c r="W79" s="138"/>
      <x:c r="X79" s="138"/>
      <x:c r="Y79" s="138"/>
      <x:c r="Z79" s="138"/>
    </x:row>
    <x:row r="80">
      <x:c r="A80" s="138"/>
      <x:c r="B80" s="138"/>
      <x:c r="C80" s="138"/>
      <x:c r="D80" s="138"/>
      <x:c r="E80" s="138"/>
      <x:c r="F80" s="138"/>
      <x:c r="G80" s="138"/>
      <x:c r="H80" s="138"/>
      <x:c r="I80" s="138"/>
      <x:c r="J80" s="138"/>
      <x:c r="K80" s="138"/>
      <x:c r="L80" s="138"/>
      <x:c r="M80" s="138"/>
      <x:c r="N80" s="138"/>
      <x:c r="O80" s="138"/>
      <x:c r="P80" s="138"/>
      <x:c r="Q80" s="138"/>
      <x:c r="R80" s="138"/>
      <x:c r="S80" s="138"/>
      <x:c r="T80" s="138"/>
      <x:c r="U80" s="138"/>
      <x:c r="V80" s="138"/>
      <x:c r="W80" s="138"/>
      <x:c r="X80" s="138"/>
      <x:c r="Y80" s="138"/>
      <x:c r="Z80" s="138"/>
    </x:row>
    <x:row r="81">
      <x:c r="A81" s="138"/>
      <x:c r="B81" s="138"/>
      <x:c r="C81" s="138"/>
      <x:c r="D81" s="138"/>
      <x:c r="E81" s="138"/>
      <x:c r="F81" s="138"/>
      <x:c r="G81" s="138"/>
      <x:c r="H81" s="138"/>
      <x:c r="I81" s="138"/>
      <x:c r="J81" s="138"/>
      <x:c r="K81" s="138"/>
      <x:c r="L81" s="138"/>
      <x:c r="M81" s="138"/>
      <x:c r="N81" s="138"/>
      <x:c r="O81" s="138"/>
      <x:c r="P81" s="138"/>
      <x:c r="Q81" s="138"/>
      <x:c r="R81" s="138"/>
      <x:c r="S81" s="138"/>
      <x:c r="T81" s="138"/>
      <x:c r="U81" s="138"/>
      <x:c r="V81" s="138"/>
      <x:c r="W81" s="138"/>
      <x:c r="X81" s="138"/>
      <x:c r="Y81" s="138"/>
      <x:c r="Z81" s="138"/>
    </x:row>
    <x:row r="82">
      <x:c r="A82" s="138"/>
      <x:c r="B82" s="138"/>
      <x:c r="C82" s="138"/>
      <x:c r="D82" s="138"/>
      <x:c r="E82" s="138"/>
      <x:c r="F82" s="138"/>
      <x:c r="G82" s="138"/>
      <x:c r="H82" s="138"/>
      <x:c r="I82" s="138"/>
      <x:c r="J82" s="138"/>
      <x:c r="K82" s="138"/>
      <x:c r="L82" s="138"/>
      <x:c r="M82" s="138"/>
      <x:c r="N82" s="138"/>
      <x:c r="O82" s="138"/>
      <x:c r="P82" s="138"/>
      <x:c r="Q82" s="138"/>
      <x:c r="R82" s="138"/>
      <x:c r="S82" s="138"/>
      <x:c r="T82" s="138"/>
      <x:c r="U82" s="138"/>
      <x:c r="V82" s="138"/>
      <x:c r="W82" s="138"/>
      <x:c r="X82" s="138"/>
      <x:c r="Y82" s="138"/>
      <x:c r="Z82" s="138"/>
    </x:row>
    <x:row r="83">
      <x:c r="A83" s="138"/>
      <x:c r="B83" s="138"/>
      <x:c r="C83" s="138"/>
      <x:c r="D83" s="138"/>
      <x:c r="E83" s="138"/>
      <x:c r="F83" s="138"/>
      <x:c r="G83" s="138"/>
      <x:c r="H83" s="138"/>
      <x:c r="I83" s="138"/>
      <x:c r="J83" s="138"/>
      <x:c r="K83" s="138"/>
      <x:c r="L83" s="138"/>
      <x:c r="M83" s="138"/>
      <x:c r="N83" s="138"/>
      <x:c r="O83" s="138"/>
      <x:c r="P83" s="138"/>
      <x:c r="Q83" s="138"/>
      <x:c r="R83" s="138"/>
      <x:c r="S83" s="138"/>
      <x:c r="T83" s="138"/>
      <x:c r="U83" s="138"/>
      <x:c r="V83" s="138"/>
      <x:c r="W83" s="138"/>
      <x:c r="X83" s="138"/>
      <x:c r="Y83" s="138"/>
      <x:c r="Z83" s="138"/>
    </x:row>
    <x:row r="84">
      <x:c r="A84" s="138"/>
      <x:c r="B84" s="138"/>
      <x:c r="C84" s="138"/>
      <x:c r="D84" s="138"/>
      <x:c r="E84" s="138"/>
      <x:c r="F84" s="138"/>
      <x:c r="G84" s="138"/>
      <x:c r="H84" s="138"/>
      <x:c r="I84" s="138"/>
      <x:c r="J84" s="138"/>
      <x:c r="K84" s="138"/>
      <x:c r="L84" s="138"/>
      <x:c r="M84" s="138"/>
      <x:c r="N84" s="138"/>
      <x:c r="O84" s="138"/>
      <x:c r="P84" s="138"/>
      <x:c r="Q84" s="138"/>
      <x:c r="R84" s="138"/>
      <x:c r="S84" s="138"/>
      <x:c r="T84" s="138"/>
      <x:c r="U84" s="138"/>
      <x:c r="V84" s="138"/>
      <x:c r="W84" s="138"/>
      <x:c r="X84" s="138"/>
      <x:c r="Y84" s="138"/>
      <x:c r="Z84" s="138"/>
    </x:row>
    <x:row r="85">
      <x:c r="A85" s="138"/>
      <x:c r="B85" s="138"/>
      <x:c r="C85" s="138"/>
      <x:c r="D85" s="138"/>
      <x:c r="E85" s="138"/>
      <x:c r="F85" s="138"/>
      <x:c r="G85" s="138"/>
      <x:c r="H85" s="138"/>
      <x:c r="I85" s="138"/>
      <x:c r="J85" s="138"/>
      <x:c r="K85" s="138"/>
      <x:c r="L85" s="138"/>
      <x:c r="M85" s="138"/>
      <x:c r="N85" s="138"/>
      <x:c r="O85" s="138"/>
      <x:c r="P85" s="138"/>
      <x:c r="Q85" s="138"/>
      <x:c r="R85" s="138"/>
      <x:c r="S85" s="138"/>
      <x:c r="T85" s="138"/>
      <x:c r="U85" s="138"/>
      <x:c r="V85" s="138"/>
      <x:c r="W85" s="138"/>
      <x:c r="X85" s="138"/>
      <x:c r="Y85" s="138"/>
      <x:c r="Z85" s="138"/>
    </x:row>
    <x:row r="86">
      <x:c r="A86" s="138"/>
      <x:c r="B86" s="138"/>
      <x:c r="C86" s="138"/>
      <x:c r="D86" s="138"/>
      <x:c r="E86" s="138"/>
      <x:c r="F86" s="138"/>
      <x:c r="G86" s="138"/>
      <x:c r="H86" s="138"/>
      <x:c r="I86" s="138"/>
      <x:c r="J86" s="138"/>
      <x:c r="K86" s="138"/>
      <x:c r="L86" s="138"/>
      <x:c r="M86" s="138"/>
      <x:c r="N86" s="138"/>
      <x:c r="O86" s="138"/>
      <x:c r="P86" s="138"/>
      <x:c r="Q86" s="138"/>
      <x:c r="R86" s="138"/>
      <x:c r="S86" s="138"/>
      <x:c r="T86" s="138"/>
      <x:c r="U86" s="138"/>
      <x:c r="V86" s="138"/>
      <x:c r="W86" s="138"/>
      <x:c r="X86" s="138"/>
      <x:c r="Y86" s="138"/>
      <x:c r="Z86" s="138"/>
    </x:row>
    <x:row r="87">
      <x:c r="A87" s="138"/>
      <x:c r="B87" s="138"/>
      <x:c r="C87" s="138"/>
      <x:c r="D87" s="138"/>
      <x:c r="E87" s="138"/>
      <x:c r="F87" s="138"/>
      <x:c r="G87" s="138"/>
      <x:c r="H87" s="138"/>
      <x:c r="I87" s="138"/>
      <x:c r="J87" s="138"/>
      <x:c r="K87" s="138"/>
      <x:c r="L87" s="138"/>
      <x:c r="M87" s="138"/>
      <x:c r="N87" s="138"/>
      <x:c r="O87" s="138"/>
      <x:c r="P87" s="138"/>
      <x:c r="Q87" s="138"/>
      <x:c r="R87" s="138"/>
      <x:c r="S87" s="138"/>
      <x:c r="T87" s="138"/>
      <x:c r="U87" s="138"/>
      <x:c r="V87" s="138"/>
      <x:c r="W87" s="138"/>
      <x:c r="X87" s="138"/>
      <x:c r="Y87" s="138"/>
      <x:c r="Z87" s="138"/>
    </x:row>
    <x:row r="88">
      <x:c r="A88" s="138"/>
      <x:c r="B88" s="138"/>
      <x:c r="C88" s="138"/>
      <x:c r="D88" s="138"/>
      <x:c r="E88" s="138"/>
      <x:c r="F88" s="138"/>
      <x:c r="G88" s="138"/>
      <x:c r="H88" s="138"/>
      <x:c r="I88" s="138"/>
      <x:c r="J88" s="138"/>
      <x:c r="K88" s="138"/>
      <x:c r="L88" s="138"/>
      <x:c r="M88" s="138"/>
      <x:c r="N88" s="138"/>
      <x:c r="O88" s="138"/>
      <x:c r="P88" s="138"/>
      <x:c r="Q88" s="138"/>
      <x:c r="R88" s="138"/>
      <x:c r="S88" s="138"/>
      <x:c r="T88" s="138"/>
      <x:c r="U88" s="138"/>
      <x:c r="V88" s="138"/>
      <x:c r="W88" s="138"/>
      <x:c r="X88" s="138"/>
      <x:c r="Y88" s="138"/>
      <x:c r="Z88" s="138"/>
    </x:row>
    <x:row r="89">
      <x:c r="A89" s="138"/>
      <x:c r="B89" s="138"/>
      <x:c r="C89" s="138"/>
      <x:c r="D89" s="138"/>
      <x:c r="E89" s="138"/>
      <x:c r="F89" s="138"/>
      <x:c r="G89" s="138"/>
      <x:c r="H89" s="138"/>
      <x:c r="I89" s="138"/>
      <x:c r="J89" s="138"/>
      <x:c r="K89" s="138"/>
      <x:c r="L89" s="138"/>
      <x:c r="M89" s="138"/>
      <x:c r="N89" s="138"/>
      <x:c r="O89" s="138"/>
      <x:c r="P89" s="138"/>
      <x:c r="Q89" s="138"/>
      <x:c r="R89" s="138"/>
      <x:c r="S89" s="138"/>
      <x:c r="T89" s="138"/>
      <x:c r="U89" s="138"/>
      <x:c r="V89" s="138"/>
      <x:c r="W89" s="138"/>
      <x:c r="X89" s="138"/>
      <x:c r="Y89" s="138"/>
      <x:c r="Z89" s="138"/>
    </x:row>
    <x:row r="90">
      <x:c r="A90" s="138"/>
      <x:c r="B90" s="138"/>
      <x:c r="C90" s="138"/>
      <x:c r="D90" s="138"/>
      <x:c r="E90" s="138"/>
      <x:c r="F90" s="138"/>
      <x:c r="G90" s="138"/>
      <x:c r="H90" s="138"/>
      <x:c r="I90" s="138"/>
      <x:c r="J90" s="138"/>
      <x:c r="K90" s="138"/>
      <x:c r="L90" s="138"/>
      <x:c r="M90" s="138"/>
      <x:c r="N90" s="138"/>
      <x:c r="O90" s="138"/>
      <x:c r="P90" s="138"/>
      <x:c r="Q90" s="138"/>
      <x:c r="R90" s="138"/>
      <x:c r="S90" s="138"/>
      <x:c r="T90" s="138"/>
      <x:c r="U90" s="138"/>
      <x:c r="V90" s="138"/>
      <x:c r="W90" s="138"/>
      <x:c r="X90" s="138"/>
      <x:c r="Y90" s="138"/>
      <x:c r="Z90" s="138"/>
    </x:row>
    <x:row r="91">
      <x:c r="A91" s="138"/>
      <x:c r="B91" s="138"/>
      <x:c r="C91" s="138"/>
      <x:c r="D91" s="138"/>
      <x:c r="E91" s="138"/>
      <x:c r="F91" s="138"/>
      <x:c r="G91" s="138"/>
      <x:c r="H91" s="138"/>
      <x:c r="I91" s="138"/>
      <x:c r="J91" s="138"/>
      <x:c r="K91" s="138"/>
      <x:c r="L91" s="138"/>
      <x:c r="M91" s="138"/>
      <x:c r="N91" s="138"/>
      <x:c r="O91" s="138"/>
      <x:c r="P91" s="138"/>
      <x:c r="Q91" s="138"/>
      <x:c r="R91" s="138"/>
      <x:c r="S91" s="138"/>
      <x:c r="T91" s="138"/>
      <x:c r="U91" s="138"/>
      <x:c r="V91" s="138"/>
      <x:c r="W91" s="138"/>
      <x:c r="X91" s="138"/>
      <x:c r="Y91" s="138"/>
      <x:c r="Z91" s="138"/>
    </x:row>
    <x:row r="92">
      <x:c r="A92" s="138"/>
      <x:c r="B92" s="138"/>
      <x:c r="C92" s="138"/>
      <x:c r="D92" s="138"/>
      <x:c r="E92" s="138"/>
      <x:c r="F92" s="138"/>
      <x:c r="G92" s="138"/>
      <x:c r="H92" s="138"/>
      <x:c r="I92" s="138"/>
      <x:c r="J92" s="138"/>
      <x:c r="K92" s="138"/>
      <x:c r="L92" s="138"/>
      <x:c r="M92" s="138"/>
      <x:c r="N92" s="138"/>
      <x:c r="O92" s="138"/>
      <x:c r="P92" s="138"/>
      <x:c r="Q92" s="138"/>
      <x:c r="R92" s="138"/>
      <x:c r="S92" s="138"/>
      <x:c r="T92" s="138"/>
      <x:c r="U92" s="138"/>
      <x:c r="V92" s="138"/>
      <x:c r="W92" s="138"/>
      <x:c r="X92" s="138"/>
      <x:c r="Y92" s="138"/>
      <x:c r="Z92" s="138"/>
    </x:row>
    <x:row r="93">
      <x:c r="A93" s="138"/>
      <x:c r="B93" s="138"/>
      <x:c r="C93" s="138"/>
      <x:c r="D93" s="138"/>
      <x:c r="E93" s="138"/>
      <x:c r="F93" s="138"/>
      <x:c r="G93" s="138"/>
      <x:c r="H93" s="138"/>
      <x:c r="I93" s="138"/>
      <x:c r="J93" s="138"/>
      <x:c r="K93" s="138"/>
      <x:c r="L93" s="138"/>
      <x:c r="M93" s="138"/>
      <x:c r="N93" s="138"/>
      <x:c r="O93" s="138"/>
      <x:c r="P93" s="138"/>
      <x:c r="Q93" s="138"/>
      <x:c r="R93" s="138"/>
      <x:c r="S93" s="138"/>
      <x:c r="T93" s="138"/>
      <x:c r="U93" s="138"/>
      <x:c r="V93" s="138"/>
      <x:c r="W93" s="138"/>
      <x:c r="X93" s="138"/>
      <x:c r="Y93" s="138"/>
      <x:c r="Z93" s="138"/>
    </x:row>
    <x:row r="94">
      <x:c r="A94" s="138"/>
      <x:c r="B94" s="138"/>
      <x:c r="C94" s="138"/>
      <x:c r="D94" s="138"/>
      <x:c r="E94" s="138"/>
      <x:c r="F94" s="138"/>
      <x:c r="G94" s="138"/>
      <x:c r="H94" s="138"/>
      <x:c r="I94" s="138"/>
      <x:c r="J94" s="138"/>
      <x:c r="K94" s="138"/>
      <x:c r="L94" s="138"/>
      <x:c r="M94" s="138"/>
      <x:c r="N94" s="138"/>
      <x:c r="O94" s="138"/>
      <x:c r="P94" s="138"/>
      <x:c r="Q94" s="138"/>
      <x:c r="R94" s="138"/>
      <x:c r="S94" s="138"/>
      <x:c r="T94" s="138"/>
      <x:c r="U94" s="138"/>
      <x:c r="V94" s="138"/>
      <x:c r="W94" s="138"/>
      <x:c r="X94" s="138"/>
      <x:c r="Y94" s="138"/>
      <x:c r="Z94" s="138"/>
    </x:row>
    <x:row r="95">
      <x:c r="A95" s="138"/>
      <x:c r="B95" s="138"/>
      <x:c r="C95" s="138"/>
      <x:c r="D95" s="138"/>
      <x:c r="E95" s="138"/>
      <x:c r="F95" s="138"/>
      <x:c r="G95" s="138"/>
      <x:c r="H95" s="138"/>
      <x:c r="I95" s="138"/>
      <x:c r="J95" s="138"/>
      <x:c r="K95" s="138"/>
      <x:c r="L95" s="138"/>
      <x:c r="M95" s="138"/>
      <x:c r="N95" s="138"/>
      <x:c r="O95" s="138"/>
      <x:c r="P95" s="138"/>
      <x:c r="Q95" s="138"/>
      <x:c r="R95" s="138"/>
      <x:c r="S95" s="138"/>
      <x:c r="T95" s="138"/>
      <x:c r="U95" s="138"/>
      <x:c r="V95" s="138"/>
      <x:c r="W95" s="138"/>
      <x:c r="X95" s="138"/>
      <x:c r="Y95" s="138"/>
      <x:c r="Z95" s="138"/>
    </x:row>
    <x:row r="96">
      <x:c r="A96" s="138"/>
      <x:c r="B96" s="138"/>
      <x:c r="C96" s="138"/>
      <x:c r="D96" s="138"/>
      <x:c r="E96" s="138"/>
      <x:c r="F96" s="138"/>
      <x:c r="G96" s="138"/>
      <x:c r="H96" s="138"/>
      <x:c r="I96" s="138"/>
      <x:c r="J96" s="138"/>
      <x:c r="K96" s="138"/>
      <x:c r="L96" s="138"/>
      <x:c r="M96" s="138"/>
      <x:c r="N96" s="138"/>
      <x:c r="O96" s="138"/>
      <x:c r="P96" s="138"/>
      <x:c r="Q96" s="138"/>
      <x:c r="R96" s="138"/>
      <x:c r="S96" s="138"/>
      <x:c r="T96" s="138"/>
      <x:c r="U96" s="138"/>
      <x:c r="V96" s="138"/>
      <x:c r="W96" s="138"/>
      <x:c r="X96" s="138"/>
      <x:c r="Y96" s="138"/>
      <x:c r="Z96" s="138"/>
    </x:row>
    <x:row r="97">
      <x:c r="A97" s="138"/>
      <x:c r="B97" s="138"/>
      <x:c r="C97" s="138"/>
      <x:c r="D97" s="138"/>
      <x:c r="E97" s="138"/>
      <x:c r="F97" s="138"/>
      <x:c r="G97" s="138"/>
      <x:c r="H97" s="138"/>
      <x:c r="I97" s="138"/>
      <x:c r="J97" s="138"/>
      <x:c r="K97" s="138"/>
      <x:c r="L97" s="138"/>
      <x:c r="M97" s="138"/>
      <x:c r="N97" s="138"/>
      <x:c r="O97" s="138"/>
      <x:c r="P97" s="138"/>
      <x:c r="Q97" s="138"/>
      <x:c r="R97" s="138"/>
      <x:c r="S97" s="138"/>
      <x:c r="T97" s="138"/>
      <x:c r="U97" s="138"/>
      <x:c r="V97" s="138"/>
      <x:c r="W97" s="138"/>
      <x:c r="X97" s="138"/>
      <x:c r="Y97" s="138"/>
      <x:c r="Z97" s="138"/>
    </x:row>
    <x:row r="98">
      <x:c r="A98" s="138"/>
      <x:c r="B98" s="138"/>
      <x:c r="C98" s="138"/>
      <x:c r="D98" s="138"/>
      <x:c r="E98" s="138"/>
      <x:c r="F98" s="138"/>
      <x:c r="G98" s="138"/>
      <x:c r="H98" s="138"/>
      <x:c r="I98" s="138"/>
      <x:c r="J98" s="138"/>
      <x:c r="K98" s="138"/>
      <x:c r="L98" s="138"/>
      <x:c r="M98" s="138"/>
      <x:c r="N98" s="138"/>
      <x:c r="O98" s="138"/>
      <x:c r="P98" s="138"/>
      <x:c r="Q98" s="138"/>
      <x:c r="R98" s="138"/>
      <x:c r="S98" s="138"/>
      <x:c r="T98" s="138"/>
      <x:c r="U98" s="138"/>
      <x:c r="V98" s="138"/>
      <x:c r="W98" s="138"/>
      <x:c r="X98" s="138"/>
      <x:c r="Y98" s="138"/>
      <x:c r="Z98" s="138"/>
    </x:row>
    <x:row r="99">
      <x:c r="A99" s="138"/>
      <x:c r="B99" s="138"/>
      <x:c r="C99" s="138"/>
      <x:c r="D99" s="138"/>
      <x:c r="E99" s="138"/>
      <x:c r="F99" s="138"/>
      <x:c r="G99" s="138"/>
      <x:c r="H99" s="138"/>
      <x:c r="I99" s="138"/>
      <x:c r="J99" s="138"/>
      <x:c r="K99" s="138"/>
      <x:c r="L99" s="138"/>
      <x:c r="M99" s="138"/>
      <x:c r="N99" s="138"/>
      <x:c r="O99" s="138"/>
      <x:c r="P99" s="138"/>
      <x:c r="Q99" s="138"/>
      <x:c r="R99" s="138"/>
      <x:c r="S99" s="138"/>
      <x:c r="T99" s="138"/>
      <x:c r="U99" s="138"/>
      <x:c r="V99" s="138"/>
      <x:c r="W99" s="138"/>
      <x:c r="X99" s="138"/>
      <x:c r="Y99" s="138"/>
      <x:c r="Z99" s="138"/>
    </x:row>
    <x:row r="100">
      <x:c r="A100" s="138"/>
      <x:c r="B100" s="138"/>
      <x:c r="C100" s="138"/>
      <x:c r="D100" s="138"/>
      <x:c r="E100" s="138"/>
      <x:c r="F100" s="138"/>
      <x:c r="G100" s="138"/>
      <x:c r="H100" s="138"/>
      <x:c r="I100" s="138"/>
      <x:c r="J100" s="138"/>
      <x:c r="K100" s="138"/>
      <x:c r="L100" s="138"/>
      <x:c r="M100" s="138"/>
      <x:c r="N100" s="138"/>
      <x:c r="O100" s="138"/>
      <x:c r="P100" s="138"/>
      <x:c r="Q100" s="138"/>
      <x:c r="R100" s="138"/>
      <x:c r="S100" s="138"/>
      <x:c r="T100" s="138"/>
      <x:c r="U100" s="138"/>
      <x:c r="V100" s="138"/>
      <x:c r="W100" s="138"/>
      <x:c r="X100" s="138"/>
      <x:c r="Y100" s="138"/>
      <x:c r="Z100" s="138"/>
    </x:row>
    <x:row r="101">
      <x:c r="A101" s="138"/>
      <x:c r="B101" s="138"/>
      <x:c r="C101" s="138"/>
      <x:c r="D101" s="138"/>
      <x:c r="E101" s="138"/>
      <x:c r="F101" s="138"/>
      <x:c r="G101" s="138"/>
      <x:c r="H101" s="138"/>
      <x:c r="I101" s="138"/>
      <x:c r="J101" s="138"/>
      <x:c r="K101" s="138"/>
      <x:c r="L101" s="138"/>
      <x:c r="M101" s="138"/>
      <x:c r="N101" s="138"/>
      <x:c r="O101" s="138"/>
      <x:c r="P101" s="138"/>
      <x:c r="Q101" s="138"/>
      <x:c r="R101" s="138"/>
      <x:c r="S101" s="138"/>
      <x:c r="T101" s="138"/>
      <x:c r="U101" s="138"/>
      <x:c r="V101" s="138"/>
      <x:c r="W101" s="138"/>
      <x:c r="X101" s="138"/>
      <x:c r="Y101" s="138"/>
      <x:c r="Z101" s="138"/>
    </x:row>
    <x:row r="102">
      <x:c r="A102" s="138"/>
      <x:c r="B102" s="138"/>
      <x:c r="C102" s="138"/>
      <x:c r="D102" s="138"/>
      <x:c r="E102" s="138"/>
      <x:c r="F102" s="138"/>
      <x:c r="G102" s="138"/>
      <x:c r="H102" s="138"/>
      <x:c r="I102" s="138"/>
      <x:c r="J102" s="138"/>
      <x:c r="K102" s="138"/>
      <x:c r="L102" s="138"/>
      <x:c r="M102" s="138"/>
      <x:c r="N102" s="138"/>
      <x:c r="O102" s="138"/>
      <x:c r="P102" s="138"/>
      <x:c r="Q102" s="138"/>
      <x:c r="R102" s="138"/>
      <x:c r="S102" s="138"/>
      <x:c r="T102" s="138"/>
      <x:c r="U102" s="138"/>
      <x:c r="V102" s="138"/>
      <x:c r="W102" s="138"/>
      <x:c r="X102" s="138"/>
      <x:c r="Y102" s="138"/>
      <x:c r="Z102" s="138"/>
    </x:row>
    <x:row r="103">
      <x:c r="A103" s="138"/>
      <x:c r="B103" s="138"/>
      <x:c r="C103" s="138"/>
      <x:c r="D103" s="138"/>
      <x:c r="E103" s="138"/>
      <x:c r="F103" s="138"/>
      <x:c r="G103" s="138"/>
      <x:c r="H103" s="138"/>
      <x:c r="I103" s="138"/>
      <x:c r="J103" s="138"/>
      <x:c r="K103" s="138"/>
      <x:c r="L103" s="138"/>
      <x:c r="M103" s="138"/>
      <x:c r="N103" s="138"/>
      <x:c r="O103" s="138"/>
      <x:c r="P103" s="138"/>
      <x:c r="Q103" s="138"/>
      <x:c r="R103" s="138"/>
      <x:c r="S103" s="138"/>
      <x:c r="T103" s="138"/>
      <x:c r="U103" s="138"/>
      <x:c r="V103" s="138"/>
      <x:c r="W103" s="138"/>
      <x:c r="X103" s="138"/>
      <x:c r="Y103" s="138"/>
      <x:c r="Z103" s="138"/>
    </x:row>
    <x:row r="104">
      <x:c r="A104" s="138"/>
      <x:c r="B104" s="138"/>
      <x:c r="C104" s="138"/>
      <x:c r="D104" s="138"/>
      <x:c r="E104" s="138"/>
      <x:c r="F104" s="138"/>
      <x:c r="G104" s="138"/>
      <x:c r="H104" s="138"/>
      <x:c r="I104" s="138"/>
      <x:c r="J104" s="138"/>
      <x:c r="K104" s="138"/>
      <x:c r="L104" s="138"/>
      <x:c r="M104" s="138"/>
      <x:c r="N104" s="138"/>
      <x:c r="O104" s="138"/>
      <x:c r="P104" s="138"/>
      <x:c r="Q104" s="138"/>
      <x:c r="R104" s="138"/>
      <x:c r="S104" s="138"/>
      <x:c r="T104" s="138"/>
      <x:c r="U104" s="138"/>
      <x:c r="V104" s="138"/>
      <x:c r="W104" s="138"/>
      <x:c r="X104" s="138"/>
      <x:c r="Y104" s="138"/>
      <x:c r="Z104" s="138"/>
    </x:row>
    <x:row r="105">
      <x:c r="A105" s="138"/>
      <x:c r="B105" s="138"/>
      <x:c r="C105" s="138"/>
      <x:c r="D105" s="138"/>
      <x:c r="E105" s="138"/>
      <x:c r="F105" s="138"/>
      <x:c r="G105" s="138"/>
      <x:c r="H105" s="138"/>
      <x:c r="I105" s="138"/>
      <x:c r="J105" s="138"/>
      <x:c r="K105" s="138"/>
      <x:c r="L105" s="138"/>
      <x:c r="M105" s="138"/>
      <x:c r="N105" s="138"/>
      <x:c r="O105" s="138"/>
      <x:c r="P105" s="138"/>
      <x:c r="Q105" s="138"/>
      <x:c r="R105" s="138"/>
      <x:c r="S105" s="138"/>
      <x:c r="T105" s="138"/>
      <x:c r="U105" s="138"/>
      <x:c r="V105" s="138"/>
      <x:c r="W105" s="138"/>
      <x:c r="X105" s="138"/>
      <x:c r="Y105" s="138"/>
      <x:c r="Z105" s="138"/>
    </x:row>
    <x:row r="106">
      <x:c r="A106" s="138"/>
      <x:c r="B106" s="138"/>
      <x:c r="C106" s="138"/>
      <x:c r="D106" s="138"/>
      <x:c r="E106" s="138"/>
      <x:c r="F106" s="138"/>
      <x:c r="G106" s="138"/>
      <x:c r="H106" s="138"/>
      <x:c r="I106" s="138"/>
      <x:c r="J106" s="138"/>
      <x:c r="K106" s="138"/>
      <x:c r="L106" s="138"/>
      <x:c r="M106" s="138"/>
      <x:c r="N106" s="138"/>
      <x:c r="O106" s="138"/>
      <x:c r="P106" s="138"/>
      <x:c r="Q106" s="138"/>
      <x:c r="R106" s="138"/>
      <x:c r="S106" s="138"/>
      <x:c r="T106" s="138"/>
      <x:c r="U106" s="138"/>
      <x:c r="V106" s="138"/>
      <x:c r="W106" s="138"/>
      <x:c r="X106" s="138"/>
      <x:c r="Y106" s="138"/>
      <x:c r="Z106" s="138"/>
    </x:row>
    <x:row r="107">
      <x:c r="A107" s="138"/>
      <x:c r="B107" s="138"/>
      <x:c r="C107" s="138"/>
      <x:c r="D107" s="138"/>
      <x:c r="E107" s="138"/>
      <x:c r="F107" s="138"/>
      <x:c r="G107" s="138"/>
      <x:c r="H107" s="138"/>
      <x:c r="I107" s="138"/>
      <x:c r="J107" s="138"/>
      <x:c r="K107" s="138"/>
      <x:c r="L107" s="138"/>
      <x:c r="M107" s="138"/>
      <x:c r="N107" s="138"/>
      <x:c r="O107" s="138"/>
      <x:c r="P107" s="138"/>
      <x:c r="Q107" s="138"/>
      <x:c r="R107" s="138"/>
      <x:c r="S107" s="138"/>
      <x:c r="T107" s="138"/>
      <x:c r="U107" s="138"/>
      <x:c r="V107" s="138"/>
      <x:c r="W107" s="138"/>
      <x:c r="X107" s="138"/>
      <x:c r="Y107" s="138"/>
      <x:c r="Z107" s="138"/>
    </x:row>
    <x:row r="108">
      <x:c r="A108" s="138"/>
      <x:c r="B108" s="138"/>
      <x:c r="C108" s="138"/>
      <x:c r="D108" s="138"/>
      <x:c r="E108" s="138"/>
      <x:c r="F108" s="138"/>
      <x:c r="G108" s="138"/>
      <x:c r="H108" s="138"/>
      <x:c r="I108" s="138"/>
      <x:c r="J108" s="138"/>
      <x:c r="K108" s="138"/>
      <x:c r="L108" s="138"/>
      <x:c r="M108" s="138"/>
      <x:c r="N108" s="138"/>
      <x:c r="O108" s="138"/>
      <x:c r="P108" s="138"/>
      <x:c r="Q108" s="138"/>
      <x:c r="R108" s="138"/>
      <x:c r="S108" s="138"/>
      <x:c r="T108" s="138"/>
      <x:c r="U108" s="138"/>
      <x:c r="V108" s="138"/>
      <x:c r="W108" s="138"/>
      <x:c r="X108" s="138"/>
      <x:c r="Y108" s="138"/>
      <x:c r="Z108" s="138"/>
    </x:row>
    <x:row r="109">
      <x:c r="A109" s="138"/>
      <x:c r="B109" s="138"/>
      <x:c r="C109" s="138"/>
      <x:c r="D109" s="138"/>
      <x:c r="E109" s="138"/>
      <x:c r="F109" s="138"/>
      <x:c r="G109" s="138"/>
      <x:c r="H109" s="138"/>
      <x:c r="I109" s="138"/>
      <x:c r="J109" s="138"/>
      <x:c r="K109" s="138"/>
      <x:c r="L109" s="138"/>
      <x:c r="M109" s="138"/>
      <x:c r="N109" s="138"/>
      <x:c r="O109" s="138"/>
      <x:c r="P109" s="138"/>
      <x:c r="Q109" s="138"/>
      <x:c r="R109" s="138"/>
      <x:c r="S109" s="138"/>
      <x:c r="T109" s="138"/>
      <x:c r="U109" s="138"/>
      <x:c r="V109" s="138"/>
      <x:c r="W109" s="138"/>
      <x:c r="X109" s="138"/>
      <x:c r="Y109" s="138"/>
      <x:c r="Z109" s="138"/>
    </x:row>
    <x:row r="110">
      <x:c r="A110" s="138"/>
      <x:c r="B110" s="138"/>
      <x:c r="C110" s="138"/>
      <x:c r="D110" s="138"/>
      <x:c r="E110" s="138"/>
      <x:c r="F110" s="138"/>
      <x:c r="G110" s="138"/>
      <x:c r="H110" s="138"/>
      <x:c r="I110" s="138"/>
      <x:c r="J110" s="138"/>
      <x:c r="K110" s="138"/>
      <x:c r="L110" s="138"/>
      <x:c r="M110" s="138"/>
      <x:c r="N110" s="138"/>
      <x:c r="O110" s="138"/>
      <x:c r="P110" s="138"/>
      <x:c r="Q110" s="138"/>
      <x:c r="R110" s="138"/>
      <x:c r="S110" s="138"/>
      <x:c r="T110" s="138"/>
      <x:c r="U110" s="138"/>
      <x:c r="V110" s="138"/>
      <x:c r="W110" s="138"/>
      <x:c r="X110" s="138"/>
      <x:c r="Y110" s="138"/>
      <x:c r="Z110" s="138"/>
    </x:row>
    <x:row r="111">
      <x:c r="A111" s="138"/>
      <x:c r="B111" s="138"/>
      <x:c r="C111" s="138"/>
      <x:c r="D111" s="138"/>
      <x:c r="E111" s="138"/>
      <x:c r="F111" s="138"/>
      <x:c r="G111" s="138"/>
      <x:c r="H111" s="138"/>
      <x:c r="I111" s="138"/>
      <x:c r="J111" s="138"/>
      <x:c r="K111" s="138"/>
      <x:c r="L111" s="138"/>
      <x:c r="M111" s="138"/>
      <x:c r="N111" s="138"/>
      <x:c r="O111" s="138"/>
      <x:c r="P111" s="138"/>
      <x:c r="Q111" s="138"/>
      <x:c r="R111" s="138"/>
      <x:c r="S111" s="138"/>
      <x:c r="T111" s="138"/>
      <x:c r="U111" s="138"/>
      <x:c r="V111" s="138"/>
      <x:c r="W111" s="138"/>
      <x:c r="X111" s="138"/>
      <x:c r="Y111" s="138"/>
      <x:c r="Z111" s="138"/>
    </x:row>
    <x:row r="112">
      <x:c r="A112" s="138"/>
      <x:c r="B112" s="138"/>
      <x:c r="C112" s="138"/>
      <x:c r="D112" s="138"/>
      <x:c r="E112" s="138"/>
      <x:c r="F112" s="138"/>
      <x:c r="G112" s="138"/>
      <x:c r="H112" s="138"/>
      <x:c r="I112" s="138"/>
      <x:c r="J112" s="138"/>
      <x:c r="K112" s="138"/>
      <x:c r="L112" s="138"/>
      <x:c r="M112" s="138"/>
      <x:c r="N112" s="138"/>
      <x:c r="O112" s="138"/>
      <x:c r="P112" s="138"/>
      <x:c r="Q112" s="138"/>
      <x:c r="R112" s="138"/>
      <x:c r="S112" s="138"/>
      <x:c r="T112" s="138"/>
      <x:c r="U112" s="138"/>
      <x:c r="V112" s="138"/>
      <x:c r="W112" s="138"/>
      <x:c r="X112" s="138"/>
      <x:c r="Y112" s="138"/>
      <x:c r="Z112" s="138"/>
    </x:row>
    <x:row r="113">
      <x:c r="A113" s="138"/>
      <x:c r="B113" s="138"/>
      <x:c r="C113" s="138"/>
      <x:c r="D113" s="138"/>
      <x:c r="E113" s="138"/>
      <x:c r="F113" s="138"/>
      <x:c r="G113" s="138"/>
      <x:c r="H113" s="138"/>
      <x:c r="I113" s="138"/>
      <x:c r="J113" s="138"/>
      <x:c r="K113" s="138"/>
      <x:c r="L113" s="138"/>
      <x:c r="M113" s="138"/>
      <x:c r="N113" s="138"/>
      <x:c r="O113" s="138"/>
      <x:c r="P113" s="138"/>
      <x:c r="Q113" s="138"/>
      <x:c r="R113" s="138"/>
      <x:c r="S113" s="138"/>
      <x:c r="T113" s="138"/>
      <x:c r="U113" s="138"/>
      <x:c r="V113" s="138"/>
      <x:c r="W113" s="138"/>
      <x:c r="X113" s="138"/>
      <x:c r="Y113" s="138"/>
      <x:c r="Z113" s="138"/>
    </x:row>
    <x:row r="114">
      <x:c r="A114" s="138"/>
      <x:c r="B114" s="138"/>
      <x:c r="C114" s="138"/>
      <x:c r="D114" s="138"/>
      <x:c r="E114" s="138"/>
      <x:c r="F114" s="138"/>
      <x:c r="G114" s="138"/>
      <x:c r="H114" s="138"/>
      <x:c r="I114" s="138"/>
      <x:c r="J114" s="138"/>
      <x:c r="K114" s="138"/>
      <x:c r="L114" s="138"/>
      <x:c r="M114" s="138"/>
      <x:c r="N114" s="138"/>
      <x:c r="O114" s="138"/>
      <x:c r="P114" s="138"/>
      <x:c r="Q114" s="138"/>
      <x:c r="R114" s="138"/>
      <x:c r="S114" s="138"/>
      <x:c r="T114" s="138"/>
      <x:c r="U114" s="138"/>
      <x:c r="V114" s="138"/>
      <x:c r="W114" s="138"/>
      <x:c r="X114" s="138"/>
      <x:c r="Y114" s="138"/>
      <x:c r="Z114" s="138"/>
    </x:row>
    <x:row r="115">
      <x:c r="A115" s="138"/>
      <x:c r="B115" s="138"/>
      <x:c r="C115" s="138"/>
      <x:c r="D115" s="138"/>
      <x:c r="E115" s="138"/>
      <x:c r="F115" s="138"/>
      <x:c r="G115" s="138"/>
      <x:c r="H115" s="138"/>
      <x:c r="I115" s="138"/>
      <x:c r="J115" s="138"/>
      <x:c r="K115" s="138"/>
      <x:c r="L115" s="138"/>
      <x:c r="M115" s="138"/>
      <x:c r="N115" s="138"/>
      <x:c r="O115" s="138"/>
      <x:c r="P115" s="138"/>
      <x:c r="Q115" s="138"/>
      <x:c r="R115" s="138"/>
      <x:c r="S115" s="138"/>
      <x:c r="T115" s="138"/>
      <x:c r="U115" s="138"/>
      <x:c r="V115" s="138"/>
      <x:c r="W115" s="138"/>
      <x:c r="X115" s="138"/>
      <x:c r="Y115" s="138"/>
      <x:c r="Z115" s="138"/>
    </x:row>
    <x:row r="116">
      <x:c r="A116" s="138"/>
      <x:c r="B116" s="138"/>
      <x:c r="C116" s="138"/>
      <x:c r="D116" s="138"/>
      <x:c r="E116" s="138"/>
      <x:c r="F116" s="138"/>
      <x:c r="G116" s="138"/>
      <x:c r="H116" s="138"/>
      <x:c r="I116" s="138"/>
      <x:c r="J116" s="138"/>
      <x:c r="K116" s="138"/>
      <x:c r="L116" s="138"/>
      <x:c r="M116" s="138"/>
      <x:c r="N116" s="138"/>
      <x:c r="O116" s="138"/>
      <x:c r="P116" s="138"/>
      <x:c r="Q116" s="138"/>
      <x:c r="R116" s="138"/>
      <x:c r="S116" s="138"/>
      <x:c r="T116" s="138"/>
      <x:c r="U116" s="138"/>
      <x:c r="V116" s="138"/>
      <x:c r="W116" s="138"/>
      <x:c r="X116" s="138"/>
      <x:c r="Y116" s="138"/>
      <x:c r="Z116" s="138"/>
    </x:row>
    <x:row r="117">
      <x:c r="A117" s="138"/>
      <x:c r="B117" s="138"/>
      <x:c r="C117" s="138"/>
      <x:c r="D117" s="138"/>
      <x:c r="E117" s="138"/>
      <x:c r="F117" s="138"/>
      <x:c r="G117" s="138"/>
      <x:c r="H117" s="138"/>
      <x:c r="I117" s="138"/>
      <x:c r="J117" s="138"/>
      <x:c r="K117" s="138"/>
      <x:c r="L117" s="138"/>
      <x:c r="M117" s="138"/>
      <x:c r="N117" s="138"/>
      <x:c r="O117" s="138"/>
      <x:c r="P117" s="138"/>
      <x:c r="Q117" s="138"/>
      <x:c r="R117" s="138"/>
      <x:c r="S117" s="138"/>
      <x:c r="T117" s="138"/>
      <x:c r="U117" s="138"/>
      <x:c r="V117" s="138"/>
      <x:c r="W117" s="138"/>
      <x:c r="X117" s="138"/>
      <x:c r="Y117" s="138"/>
      <x:c r="Z117" s="138"/>
    </x:row>
    <x:row r="118">
      <x:c r="A118" s="138"/>
      <x:c r="B118" s="138"/>
      <x:c r="C118" s="138"/>
      <x:c r="D118" s="138"/>
      <x:c r="E118" s="138"/>
      <x:c r="F118" s="138"/>
      <x:c r="G118" s="138"/>
      <x:c r="H118" s="138"/>
      <x:c r="I118" s="138"/>
      <x:c r="J118" s="138"/>
      <x:c r="K118" s="138"/>
      <x:c r="L118" s="138"/>
      <x:c r="M118" s="138"/>
      <x:c r="N118" s="138"/>
      <x:c r="O118" s="138"/>
      <x:c r="P118" s="138"/>
      <x:c r="Q118" s="138"/>
      <x:c r="R118" s="138"/>
      <x:c r="S118" s="138"/>
      <x:c r="T118" s="138"/>
      <x:c r="U118" s="138"/>
      <x:c r="V118" s="138"/>
      <x:c r="W118" s="138"/>
      <x:c r="X118" s="138"/>
      <x:c r="Y118" s="138"/>
      <x:c r="Z118" s="138"/>
    </x:row>
    <x:row r="119">
      <x:c r="A119" s="138"/>
      <x:c r="B119" s="138"/>
      <x:c r="C119" s="138"/>
      <x:c r="D119" s="138"/>
      <x:c r="E119" s="138"/>
      <x:c r="F119" s="138"/>
      <x:c r="G119" s="138"/>
      <x:c r="H119" s="138"/>
      <x:c r="I119" s="138"/>
      <x:c r="J119" s="138"/>
      <x:c r="K119" s="138"/>
      <x:c r="L119" s="138"/>
      <x:c r="M119" s="138"/>
      <x:c r="N119" s="138"/>
      <x:c r="O119" s="138"/>
      <x:c r="P119" s="138"/>
      <x:c r="Q119" s="138"/>
      <x:c r="R119" s="138"/>
      <x:c r="S119" s="138"/>
      <x:c r="T119" s="138"/>
      <x:c r="U119" s="138"/>
      <x:c r="V119" s="138"/>
      <x:c r="W119" s="138"/>
      <x:c r="X119" s="138"/>
      <x:c r="Y119" s="138"/>
      <x:c r="Z119" s="138"/>
    </x:row>
    <x:row r="120">
      <x:c r="A120" s="138"/>
      <x:c r="B120" s="138"/>
      <x:c r="C120" s="138"/>
      <x:c r="D120" s="138"/>
      <x:c r="E120" s="138"/>
      <x:c r="F120" s="138"/>
      <x:c r="G120" s="138"/>
      <x:c r="H120" s="138"/>
      <x:c r="I120" s="138"/>
      <x:c r="J120" s="138"/>
      <x:c r="K120" s="138"/>
      <x:c r="L120" s="138"/>
      <x:c r="M120" s="138"/>
      <x:c r="N120" s="138"/>
      <x:c r="O120" s="138"/>
      <x:c r="P120" s="138"/>
      <x:c r="Q120" s="138"/>
      <x:c r="R120" s="138"/>
      <x:c r="S120" s="138"/>
      <x:c r="T120" s="138"/>
      <x:c r="U120" s="138"/>
      <x:c r="V120" s="138"/>
      <x:c r="W120" s="138"/>
      <x:c r="X120" s="138"/>
      <x:c r="Y120" s="138"/>
      <x:c r="Z120" s="138"/>
    </x:row>
    <x:row r="121">
      <x:c r="A121" s="138"/>
      <x:c r="B121" s="138"/>
      <x:c r="C121" s="138"/>
      <x:c r="D121" s="138"/>
      <x:c r="E121" s="138"/>
      <x:c r="F121" s="138"/>
      <x:c r="G121" s="138"/>
      <x:c r="H121" s="138"/>
      <x:c r="I121" s="138"/>
      <x:c r="J121" s="138"/>
      <x:c r="K121" s="138"/>
      <x:c r="L121" s="138"/>
      <x:c r="M121" s="138"/>
      <x:c r="N121" s="138"/>
      <x:c r="O121" s="138"/>
      <x:c r="P121" s="138"/>
      <x:c r="Q121" s="138"/>
      <x:c r="R121" s="138"/>
      <x:c r="S121" s="138"/>
      <x:c r="T121" s="138"/>
      <x:c r="U121" s="138"/>
      <x:c r="V121" s="138"/>
      <x:c r="W121" s="138"/>
      <x:c r="X121" s="138"/>
      <x:c r="Y121" s="138"/>
      <x:c r="Z121" s="138"/>
    </x:row>
    <x:row r="122">
      <x:c r="A122" s="138"/>
      <x:c r="B122" s="138"/>
      <x:c r="C122" s="138"/>
      <x:c r="D122" s="138"/>
      <x:c r="E122" s="138"/>
      <x:c r="F122" s="138"/>
      <x:c r="G122" s="138"/>
      <x:c r="H122" s="138"/>
      <x:c r="I122" s="138"/>
      <x:c r="J122" s="138"/>
      <x:c r="K122" s="138"/>
      <x:c r="L122" s="138"/>
      <x:c r="M122" s="138"/>
      <x:c r="N122" s="138"/>
      <x:c r="O122" s="138"/>
      <x:c r="P122" s="138"/>
      <x:c r="Q122" s="138"/>
      <x:c r="R122" s="138"/>
      <x:c r="S122" s="138"/>
      <x:c r="T122" s="138"/>
      <x:c r="U122" s="138"/>
      <x:c r="V122" s="138"/>
      <x:c r="W122" s="138"/>
      <x:c r="X122" s="138"/>
      <x:c r="Y122" s="138"/>
      <x:c r="Z122" s="138"/>
    </x:row>
    <x:row r="123">
      <x:c r="A123" s="138"/>
      <x:c r="B123" s="138"/>
      <x:c r="C123" s="138"/>
      <x:c r="D123" s="138"/>
      <x:c r="E123" s="138"/>
      <x:c r="F123" s="138"/>
      <x:c r="G123" s="138"/>
      <x:c r="H123" s="138"/>
      <x:c r="I123" s="138"/>
      <x:c r="J123" s="138"/>
      <x:c r="K123" s="138"/>
      <x:c r="L123" s="138"/>
      <x:c r="M123" s="138"/>
      <x:c r="N123" s="138"/>
      <x:c r="O123" s="138"/>
      <x:c r="P123" s="138"/>
      <x:c r="Q123" s="138"/>
      <x:c r="R123" s="138"/>
      <x:c r="S123" s="138"/>
      <x:c r="T123" s="138"/>
      <x:c r="U123" s="138"/>
      <x:c r="V123" s="138"/>
      <x:c r="W123" s="138"/>
      <x:c r="X123" s="138"/>
      <x:c r="Y123" s="138"/>
      <x:c r="Z123" s="138"/>
    </x:row>
    <x:row r="124">
      <x:c r="A124" s="138"/>
      <x:c r="B124" s="138"/>
      <x:c r="C124" s="138"/>
      <x:c r="D124" s="138"/>
      <x:c r="E124" s="138"/>
      <x:c r="F124" s="138"/>
      <x:c r="G124" s="138"/>
      <x:c r="H124" s="138"/>
      <x:c r="I124" s="138"/>
      <x:c r="J124" s="138"/>
      <x:c r="K124" s="138"/>
      <x:c r="L124" s="138"/>
      <x:c r="M124" s="138"/>
      <x:c r="N124" s="138"/>
      <x:c r="O124" s="138"/>
      <x:c r="P124" s="138"/>
      <x:c r="Q124" s="138"/>
      <x:c r="R124" s="138"/>
      <x:c r="S124" s="138"/>
      <x:c r="T124" s="138"/>
      <x:c r="U124" s="138"/>
      <x:c r="V124" s="138"/>
      <x:c r="W124" s="138"/>
      <x:c r="X124" s="138"/>
      <x:c r="Y124" s="138"/>
      <x:c r="Z124" s="138"/>
    </x:row>
    <x:row r="125">
      <x:c r="A125" s="138"/>
      <x:c r="B125" s="138"/>
      <x:c r="C125" s="138"/>
      <x:c r="D125" s="138"/>
      <x:c r="E125" s="138"/>
      <x:c r="F125" s="138"/>
      <x:c r="G125" s="138"/>
      <x:c r="H125" s="138"/>
      <x:c r="I125" s="138"/>
      <x:c r="J125" s="138"/>
      <x:c r="K125" s="138"/>
      <x:c r="L125" s="138"/>
      <x:c r="M125" s="138"/>
      <x:c r="N125" s="138"/>
      <x:c r="O125" s="138"/>
      <x:c r="P125" s="138"/>
      <x:c r="Q125" s="138"/>
      <x:c r="R125" s="138"/>
      <x:c r="S125" s="138"/>
      <x:c r="T125" s="138"/>
      <x:c r="U125" s="138"/>
      <x:c r="V125" s="138"/>
      <x:c r="W125" s="138"/>
      <x:c r="X125" s="138"/>
      <x:c r="Y125" s="138"/>
      <x:c r="Z125" s="138"/>
    </x:row>
    <x:row r="126">
      <x:c r="A126" s="138"/>
      <x:c r="B126" s="138"/>
      <x:c r="C126" s="138"/>
      <x:c r="D126" s="138"/>
      <x:c r="E126" s="138"/>
      <x:c r="F126" s="138"/>
      <x:c r="G126" s="138"/>
      <x:c r="H126" s="138"/>
      <x:c r="I126" s="138"/>
      <x:c r="J126" s="138"/>
      <x:c r="K126" s="138"/>
      <x:c r="L126" s="138"/>
      <x:c r="M126" s="138"/>
      <x:c r="N126" s="138"/>
      <x:c r="O126" s="138"/>
      <x:c r="P126" s="138"/>
      <x:c r="Q126" s="138"/>
      <x:c r="R126" s="138"/>
      <x:c r="S126" s="138"/>
      <x:c r="T126" s="138"/>
      <x:c r="U126" s="138"/>
      <x:c r="V126" s="138"/>
      <x:c r="W126" s="138"/>
      <x:c r="X126" s="138"/>
      <x:c r="Y126" s="138"/>
      <x:c r="Z126" s="138"/>
    </x:row>
    <x:row r="127">
      <x:c r="A127" s="138"/>
      <x:c r="B127" s="138"/>
      <x:c r="C127" s="138"/>
      <x:c r="D127" s="138"/>
      <x:c r="E127" s="138"/>
      <x:c r="F127" s="138"/>
      <x:c r="G127" s="138"/>
      <x:c r="H127" s="138"/>
      <x:c r="I127" s="138"/>
      <x:c r="J127" s="138"/>
      <x:c r="K127" s="138"/>
      <x:c r="L127" s="138"/>
      <x:c r="M127" s="138"/>
      <x:c r="N127" s="138"/>
      <x:c r="O127" s="138"/>
      <x:c r="P127" s="138"/>
      <x:c r="Q127" s="138"/>
      <x:c r="R127" s="138"/>
      <x:c r="S127" s="138"/>
      <x:c r="T127" s="138"/>
      <x:c r="U127" s="138"/>
      <x:c r="V127" s="138"/>
      <x:c r="W127" s="138"/>
      <x:c r="X127" s="138"/>
      <x:c r="Y127" s="138"/>
      <x:c r="Z127" s="138"/>
    </x:row>
    <x:row r="128">
      <x:c r="A128" s="138"/>
      <x:c r="B128" s="138"/>
      <x:c r="C128" s="138"/>
      <x:c r="D128" s="138"/>
      <x:c r="E128" s="138"/>
      <x:c r="F128" s="138"/>
      <x:c r="G128" s="138"/>
      <x:c r="H128" s="138"/>
      <x:c r="I128" s="138"/>
      <x:c r="J128" s="138"/>
      <x:c r="K128" s="138"/>
      <x:c r="L128" s="138"/>
      <x:c r="M128" s="138"/>
      <x:c r="N128" s="138"/>
      <x:c r="O128" s="138"/>
      <x:c r="P128" s="138"/>
      <x:c r="Q128" s="138"/>
      <x:c r="R128" s="138"/>
      <x:c r="S128" s="138"/>
      <x:c r="T128" s="138"/>
      <x:c r="U128" s="138"/>
      <x:c r="V128" s="138"/>
      <x:c r="W128" s="138"/>
      <x:c r="X128" s="138"/>
      <x:c r="Y128" s="138"/>
      <x:c r="Z128" s="138"/>
    </x:row>
    <x:row r="129">
      <x:c r="A129" s="138"/>
      <x:c r="B129" s="138"/>
      <x:c r="C129" s="138"/>
      <x:c r="D129" s="138"/>
      <x:c r="E129" s="138"/>
      <x:c r="F129" s="138"/>
      <x:c r="G129" s="138"/>
      <x:c r="H129" s="138"/>
      <x:c r="I129" s="138"/>
      <x:c r="J129" s="138"/>
      <x:c r="K129" s="138"/>
      <x:c r="L129" s="138"/>
      <x:c r="M129" s="138"/>
      <x:c r="N129" s="138"/>
      <x:c r="O129" s="138"/>
      <x:c r="P129" s="138"/>
      <x:c r="Q129" s="138"/>
      <x:c r="R129" s="138"/>
      <x:c r="S129" s="138"/>
      <x:c r="T129" s="138"/>
      <x:c r="U129" s="138"/>
      <x:c r="V129" s="138"/>
      <x:c r="W129" s="138"/>
      <x:c r="X129" s="138"/>
      <x:c r="Y129" s="138"/>
      <x:c r="Z129" s="138"/>
    </x:row>
    <x:row r="130">
      <x:c r="A130" s="138"/>
      <x:c r="B130" s="138"/>
      <x:c r="C130" s="138"/>
      <x:c r="D130" s="138"/>
      <x:c r="E130" s="138"/>
      <x:c r="F130" s="138"/>
      <x:c r="G130" s="138"/>
      <x:c r="H130" s="138"/>
      <x:c r="I130" s="138"/>
      <x:c r="J130" s="138"/>
      <x:c r="K130" s="138"/>
      <x:c r="L130" s="138"/>
      <x:c r="M130" s="138"/>
      <x:c r="N130" s="138"/>
      <x:c r="O130" s="138"/>
      <x:c r="P130" s="138"/>
      <x:c r="Q130" s="138"/>
      <x:c r="R130" s="138"/>
      <x:c r="S130" s="138"/>
      <x:c r="T130" s="138"/>
      <x:c r="U130" s="138"/>
      <x:c r="V130" s="138"/>
      <x:c r="W130" s="138"/>
      <x:c r="X130" s="138"/>
      <x:c r="Y130" s="138"/>
      <x:c r="Z130" s="138"/>
    </x:row>
    <x:row r="131">
      <x:c r="A131" s="138"/>
      <x:c r="B131" s="138"/>
      <x:c r="C131" s="138"/>
      <x:c r="D131" s="138"/>
      <x:c r="E131" s="138"/>
      <x:c r="F131" s="138"/>
      <x:c r="G131" s="138"/>
      <x:c r="H131" s="138"/>
      <x:c r="I131" s="138"/>
      <x:c r="J131" s="138"/>
      <x:c r="K131" s="138"/>
      <x:c r="L131" s="138"/>
      <x:c r="M131" s="138"/>
      <x:c r="N131" s="138"/>
      <x:c r="O131" s="138"/>
      <x:c r="P131" s="138"/>
      <x:c r="Q131" s="138"/>
      <x:c r="R131" s="138"/>
      <x:c r="S131" s="138"/>
      <x:c r="T131" s="138"/>
      <x:c r="U131" s="138"/>
      <x:c r="V131" s="138"/>
      <x:c r="W131" s="138"/>
      <x:c r="X131" s="138"/>
      <x:c r="Y131" s="138"/>
      <x:c r="Z131" s="138"/>
    </x:row>
    <x:row r="132">
      <x:c r="A132" s="138"/>
      <x:c r="B132" s="138"/>
      <x:c r="C132" s="138"/>
      <x:c r="D132" s="138"/>
      <x:c r="E132" s="138"/>
      <x:c r="F132" s="138"/>
      <x:c r="G132" s="138"/>
      <x:c r="H132" s="138"/>
      <x:c r="I132" s="138"/>
      <x:c r="J132" s="138"/>
      <x:c r="K132" s="138"/>
      <x:c r="L132" s="138"/>
      <x:c r="M132" s="138"/>
      <x:c r="N132" s="138"/>
      <x:c r="O132" s="138"/>
      <x:c r="P132" s="138"/>
      <x:c r="Q132" s="138"/>
      <x:c r="R132" s="138"/>
      <x:c r="S132" s="138"/>
      <x:c r="T132" s="138"/>
      <x:c r="U132" s="138"/>
      <x:c r="V132" s="138"/>
      <x:c r="W132" s="138"/>
      <x:c r="X132" s="138"/>
      <x:c r="Y132" s="138"/>
      <x:c r="Z132" s="138"/>
    </x:row>
    <x:row r="133">
      <x:c r="A133" s="138"/>
      <x:c r="B133" s="138"/>
      <x:c r="C133" s="138"/>
      <x:c r="D133" s="138"/>
      <x:c r="E133" s="138"/>
      <x:c r="F133" s="138"/>
      <x:c r="G133" s="138"/>
      <x:c r="H133" s="138"/>
      <x:c r="I133" s="138"/>
      <x:c r="J133" s="138"/>
      <x:c r="K133" s="138"/>
      <x:c r="L133" s="138"/>
      <x:c r="M133" s="138"/>
      <x:c r="N133" s="138"/>
      <x:c r="O133" s="138"/>
      <x:c r="P133" s="138"/>
      <x:c r="Q133" s="138"/>
      <x:c r="R133" s="138"/>
      <x:c r="S133" s="138"/>
      <x:c r="T133" s="138"/>
      <x:c r="U133" s="138"/>
      <x:c r="V133" s="138"/>
      <x:c r="W133" s="138"/>
      <x:c r="X133" s="138"/>
      <x:c r="Y133" s="138"/>
      <x:c r="Z133" s="138"/>
    </x:row>
    <x:row r="134">
      <x:c r="A134" s="138"/>
      <x:c r="B134" s="138"/>
      <x:c r="C134" s="138"/>
      <x:c r="D134" s="138"/>
      <x:c r="E134" s="138"/>
      <x:c r="F134" s="138"/>
      <x:c r="G134" s="138"/>
      <x:c r="H134" s="138"/>
      <x:c r="I134" s="138"/>
      <x:c r="J134" s="138"/>
      <x:c r="K134" s="138"/>
      <x:c r="L134" s="138"/>
      <x:c r="M134" s="138"/>
      <x:c r="N134" s="138"/>
      <x:c r="O134" s="138"/>
      <x:c r="P134" s="138"/>
      <x:c r="Q134" s="138"/>
      <x:c r="R134" s="138"/>
      <x:c r="S134" s="138"/>
      <x:c r="T134" s="138"/>
      <x:c r="U134" s="138"/>
      <x:c r="V134" s="138"/>
      <x:c r="W134" s="138"/>
      <x:c r="X134" s="138"/>
      <x:c r="Y134" s="138"/>
      <x:c r="Z134" s="138"/>
    </x:row>
    <x:row r="135">
      <x:c r="A135" s="138"/>
      <x:c r="B135" s="138"/>
      <x:c r="C135" s="138"/>
      <x:c r="D135" s="138"/>
      <x:c r="E135" s="138"/>
      <x:c r="F135" s="138"/>
      <x:c r="G135" s="138"/>
      <x:c r="H135" s="138"/>
      <x:c r="I135" s="138"/>
      <x:c r="J135" s="138"/>
      <x:c r="K135" s="138"/>
      <x:c r="L135" s="138"/>
      <x:c r="M135" s="138"/>
      <x:c r="N135" s="138"/>
      <x:c r="O135" s="138"/>
      <x:c r="P135" s="138"/>
      <x:c r="Q135" s="138"/>
      <x:c r="R135" s="138"/>
      <x:c r="S135" s="138"/>
      <x:c r="T135" s="138"/>
      <x:c r="U135" s="138"/>
      <x:c r="V135" s="138"/>
      <x:c r="W135" s="138"/>
      <x:c r="X135" s="138"/>
      <x:c r="Y135" s="138"/>
      <x:c r="Z135" s="138"/>
    </x:row>
    <x:row r="136">
      <x:c r="A136" s="138"/>
      <x:c r="B136" s="138"/>
      <x:c r="C136" s="138"/>
      <x:c r="D136" s="138"/>
      <x:c r="E136" s="138"/>
      <x:c r="F136" s="138"/>
      <x:c r="G136" s="138"/>
      <x:c r="H136" s="138"/>
      <x:c r="I136" s="138"/>
      <x:c r="J136" s="138"/>
      <x:c r="K136" s="138"/>
      <x:c r="L136" s="138"/>
      <x:c r="M136" s="138"/>
      <x:c r="N136" s="138"/>
      <x:c r="O136" s="138"/>
      <x:c r="P136" s="138"/>
      <x:c r="Q136" s="138"/>
      <x:c r="R136" s="138"/>
      <x:c r="S136" s="138"/>
      <x:c r="T136" s="138"/>
      <x:c r="U136" s="138"/>
      <x:c r="V136" s="138"/>
      <x:c r="W136" s="138"/>
      <x:c r="X136" s="138"/>
      <x:c r="Y136" s="138"/>
      <x:c r="Z136" s="138"/>
    </x:row>
    <x:row r="137">
      <x:c r="A137" s="138"/>
      <x:c r="B137" s="138"/>
      <x:c r="C137" s="138"/>
      <x:c r="D137" s="138"/>
      <x:c r="E137" s="138"/>
      <x:c r="F137" s="138"/>
      <x:c r="G137" s="138"/>
      <x:c r="H137" s="138"/>
      <x:c r="I137" s="138"/>
      <x:c r="J137" s="138"/>
      <x:c r="K137" s="138"/>
      <x:c r="L137" s="138"/>
      <x:c r="M137" s="138"/>
      <x:c r="N137" s="138"/>
      <x:c r="O137" s="138"/>
      <x:c r="P137" s="138"/>
      <x:c r="Q137" s="138"/>
      <x:c r="R137" s="138"/>
      <x:c r="S137" s="138"/>
      <x:c r="T137" s="138"/>
      <x:c r="U137" s="138"/>
      <x:c r="V137" s="138"/>
      <x:c r="W137" s="138"/>
      <x:c r="X137" s="138"/>
      <x:c r="Y137" s="138"/>
      <x:c r="Z137" s="138"/>
    </x:row>
    <x:row r="138">
      <x:c r="A138" s="138"/>
      <x:c r="B138" s="138"/>
      <x:c r="C138" s="138"/>
      <x:c r="D138" s="138"/>
      <x:c r="E138" s="138"/>
      <x:c r="F138" s="138"/>
      <x:c r="G138" s="138"/>
      <x:c r="H138" s="138"/>
      <x:c r="I138" s="138"/>
      <x:c r="J138" s="138"/>
      <x:c r="K138" s="138"/>
      <x:c r="L138" s="138"/>
      <x:c r="M138" s="138"/>
      <x:c r="N138" s="138"/>
      <x:c r="O138" s="138"/>
      <x:c r="P138" s="138"/>
      <x:c r="Q138" s="138"/>
      <x:c r="R138" s="138"/>
      <x:c r="S138" s="138"/>
      <x:c r="T138" s="138"/>
      <x:c r="U138" s="138"/>
      <x:c r="V138" s="138"/>
      <x:c r="W138" s="138"/>
      <x:c r="X138" s="138"/>
      <x:c r="Y138" s="138"/>
      <x:c r="Z138" s="138"/>
    </x:row>
    <x:row r="139">
      <x:c r="A139" s="138"/>
      <x:c r="B139" s="138"/>
      <x:c r="C139" s="138"/>
      <x:c r="D139" s="138"/>
      <x:c r="E139" s="138"/>
      <x:c r="F139" s="138"/>
      <x:c r="G139" s="138"/>
      <x:c r="H139" s="138"/>
      <x:c r="I139" s="138"/>
      <x:c r="J139" s="138"/>
      <x:c r="K139" s="138"/>
      <x:c r="L139" s="138"/>
      <x:c r="M139" s="138"/>
      <x:c r="N139" s="138"/>
      <x:c r="O139" s="138"/>
      <x:c r="P139" s="138"/>
      <x:c r="Q139" s="138"/>
      <x:c r="R139" s="138"/>
      <x:c r="S139" s="138"/>
      <x:c r="T139" s="138"/>
      <x:c r="U139" s="138"/>
      <x:c r="V139" s="138"/>
      <x:c r="W139" s="138"/>
      <x:c r="X139" s="138"/>
      <x:c r="Y139" s="138"/>
      <x:c r="Z139" s="138"/>
    </x:row>
    <x:row r="140">
      <x:c r="A140" s="138"/>
      <x:c r="B140" s="138"/>
      <x:c r="C140" s="138"/>
      <x:c r="D140" s="138"/>
      <x:c r="E140" s="138"/>
      <x:c r="F140" s="138"/>
      <x:c r="G140" s="138"/>
      <x:c r="H140" s="138"/>
      <x:c r="I140" s="138"/>
      <x:c r="J140" s="138"/>
      <x:c r="K140" s="138"/>
      <x:c r="L140" s="138"/>
      <x:c r="M140" s="138"/>
      <x:c r="N140" s="138"/>
      <x:c r="O140" s="138"/>
      <x:c r="P140" s="138"/>
      <x:c r="Q140" s="138"/>
      <x:c r="R140" s="138"/>
      <x:c r="S140" s="138"/>
      <x:c r="T140" s="138"/>
      <x:c r="U140" s="138"/>
      <x:c r="V140" s="138"/>
      <x:c r="W140" s="138"/>
      <x:c r="X140" s="138"/>
      <x:c r="Y140" s="138"/>
      <x:c r="Z140" s="138"/>
    </x:row>
    <x:row r="141">
      <x:c r="A141" s="138"/>
      <x:c r="B141" s="138"/>
      <x:c r="C141" s="138"/>
      <x:c r="D141" s="138"/>
      <x:c r="E141" s="138"/>
      <x:c r="F141" s="138"/>
      <x:c r="G141" s="138"/>
      <x:c r="H141" s="138"/>
      <x:c r="I141" s="138"/>
      <x:c r="J141" s="138"/>
      <x:c r="K141" s="138"/>
      <x:c r="L141" s="138"/>
      <x:c r="M141" s="138"/>
      <x:c r="N141" s="138"/>
      <x:c r="O141" s="138"/>
      <x:c r="P141" s="138"/>
      <x:c r="Q141" s="138"/>
      <x:c r="R141" s="138"/>
      <x:c r="S141" s="138"/>
      <x:c r="T141" s="138"/>
      <x:c r="U141" s="138"/>
      <x:c r="V141" s="138"/>
      <x:c r="W141" s="138"/>
      <x:c r="X141" s="138"/>
      <x:c r="Y141" s="138"/>
      <x:c r="Z141" s="138"/>
    </x:row>
    <x:row r="142">
      <x:c r="A142" s="138"/>
      <x:c r="B142" s="138"/>
      <x:c r="C142" s="138"/>
      <x:c r="D142" s="138"/>
      <x:c r="E142" s="138"/>
      <x:c r="F142" s="138"/>
      <x:c r="G142" s="138"/>
      <x:c r="H142" s="138"/>
      <x:c r="I142" s="138"/>
      <x:c r="J142" s="138"/>
      <x:c r="K142" s="138"/>
      <x:c r="L142" s="138"/>
      <x:c r="M142" s="138"/>
      <x:c r="N142" s="138"/>
      <x:c r="O142" s="138"/>
      <x:c r="P142" s="138"/>
      <x:c r="Q142" s="138"/>
      <x:c r="R142" s="138"/>
      <x:c r="S142" s="138"/>
      <x:c r="T142" s="138"/>
      <x:c r="U142" s="138"/>
      <x:c r="V142" s="138"/>
      <x:c r="W142" s="138"/>
      <x:c r="X142" s="138"/>
      <x:c r="Y142" s="138"/>
      <x:c r="Z142" s="138"/>
    </x:row>
    <x:row r="143">
      <x:c r="A143" s="138"/>
      <x:c r="B143" s="138"/>
      <x:c r="C143" s="138"/>
      <x:c r="D143" s="138"/>
      <x:c r="E143" s="138"/>
      <x:c r="F143" s="138"/>
      <x:c r="G143" s="138"/>
      <x:c r="H143" s="138"/>
      <x:c r="I143" s="138"/>
      <x:c r="J143" s="138"/>
      <x:c r="K143" s="138"/>
      <x:c r="L143" s="138"/>
      <x:c r="M143" s="138"/>
      <x:c r="N143" s="138"/>
      <x:c r="O143" s="138"/>
      <x:c r="P143" s="138"/>
      <x:c r="Q143" s="138"/>
      <x:c r="R143" s="138"/>
      <x:c r="S143" s="138"/>
      <x:c r="T143" s="138"/>
      <x:c r="U143" s="138"/>
      <x:c r="V143" s="138"/>
      <x:c r="W143" s="138"/>
      <x:c r="X143" s="138"/>
      <x:c r="Y143" s="138"/>
      <x:c r="Z143" s="138"/>
    </x:row>
    <x:row r="144">
      <x:c r="A144" s="138"/>
      <x:c r="B144" s="138"/>
      <x:c r="C144" s="138"/>
      <x:c r="D144" s="138"/>
      <x:c r="E144" s="138"/>
      <x:c r="F144" s="138"/>
      <x:c r="G144" s="138"/>
      <x:c r="H144" s="138"/>
      <x:c r="I144" s="138"/>
      <x:c r="J144" s="138"/>
      <x:c r="K144" s="138"/>
      <x:c r="L144" s="138"/>
      <x:c r="M144" s="138"/>
      <x:c r="N144" s="138"/>
      <x:c r="O144" s="138"/>
      <x:c r="P144" s="138"/>
      <x:c r="Q144" s="138"/>
      <x:c r="R144" s="138"/>
      <x:c r="S144" s="138"/>
      <x:c r="T144" s="138"/>
      <x:c r="U144" s="138"/>
      <x:c r="V144" s="138"/>
      <x:c r="W144" s="138"/>
      <x:c r="X144" s="138"/>
      <x:c r="Y144" s="138"/>
      <x:c r="Z144" s="138"/>
    </x:row>
    <x:row r="145">
      <x:c r="A145" s="138"/>
      <x:c r="B145" s="138"/>
      <x:c r="C145" s="138"/>
      <x:c r="D145" s="138"/>
      <x:c r="E145" s="138"/>
      <x:c r="F145" s="138"/>
      <x:c r="G145" s="138"/>
      <x:c r="H145" s="138"/>
      <x:c r="I145" s="138"/>
      <x:c r="J145" s="138"/>
      <x:c r="K145" s="138"/>
      <x:c r="L145" s="138"/>
      <x:c r="M145" s="138"/>
      <x:c r="N145" s="138"/>
      <x:c r="O145" s="138"/>
      <x:c r="P145" s="138"/>
      <x:c r="Q145" s="138"/>
      <x:c r="R145" s="138"/>
      <x:c r="S145" s="138"/>
      <x:c r="T145" s="138"/>
      <x:c r="U145" s="138"/>
      <x:c r="V145" s="138"/>
      <x:c r="W145" s="138"/>
      <x:c r="X145" s="138"/>
      <x:c r="Y145" s="138"/>
      <x:c r="Z145" s="138"/>
    </x:row>
    <x:row r="146">
      <x:c r="A146" s="138"/>
      <x:c r="B146" s="138"/>
      <x:c r="C146" s="138"/>
      <x:c r="D146" s="138"/>
      <x:c r="E146" s="138"/>
      <x:c r="F146" s="138"/>
      <x:c r="G146" s="138"/>
      <x:c r="H146" s="138"/>
      <x:c r="I146" s="138"/>
      <x:c r="J146" s="138"/>
      <x:c r="K146" s="138"/>
      <x:c r="L146" s="138"/>
      <x:c r="M146" s="138"/>
      <x:c r="N146" s="138"/>
      <x:c r="O146" s="138"/>
      <x:c r="P146" s="138"/>
      <x:c r="Q146" s="138"/>
      <x:c r="R146" s="138"/>
      <x:c r="S146" s="138"/>
      <x:c r="T146" s="138"/>
      <x:c r="U146" s="138"/>
      <x:c r="V146" s="138"/>
      <x:c r="W146" s="138"/>
      <x:c r="X146" s="138"/>
      <x:c r="Y146" s="138"/>
      <x:c r="Z146" s="138"/>
    </x:row>
    <x:row r="147">
      <x:c r="A147" s="138"/>
      <x:c r="B147" s="138"/>
      <x:c r="C147" s="138"/>
      <x:c r="D147" s="138"/>
      <x:c r="E147" s="138"/>
      <x:c r="F147" s="138"/>
      <x:c r="G147" s="138"/>
      <x:c r="H147" s="138"/>
      <x:c r="I147" s="138"/>
      <x:c r="J147" s="138"/>
      <x:c r="K147" s="138"/>
      <x:c r="L147" s="138"/>
      <x:c r="M147" s="138"/>
      <x:c r="N147" s="138"/>
      <x:c r="O147" s="138"/>
      <x:c r="P147" s="138"/>
      <x:c r="Q147" s="138"/>
      <x:c r="R147" s="138"/>
      <x:c r="S147" s="138"/>
      <x:c r="T147" s="138"/>
      <x:c r="U147" s="138"/>
      <x:c r="V147" s="138"/>
      <x:c r="W147" s="138"/>
      <x:c r="X147" s="138"/>
      <x:c r="Y147" s="138"/>
      <x:c r="Z147" s="138"/>
    </x:row>
    <x:row r="148">
      <x:c r="A148" s="138"/>
      <x:c r="B148" s="138"/>
      <x:c r="C148" s="138"/>
      <x:c r="D148" s="138"/>
      <x:c r="E148" s="138"/>
      <x:c r="F148" s="138"/>
      <x:c r="G148" s="138"/>
      <x:c r="H148" s="138"/>
      <x:c r="I148" s="138"/>
      <x:c r="J148" s="138"/>
      <x:c r="K148" s="138"/>
      <x:c r="L148" s="138"/>
      <x:c r="M148" s="138"/>
      <x:c r="N148" s="138"/>
      <x:c r="O148" s="138"/>
      <x:c r="P148" s="138"/>
      <x:c r="Q148" s="138"/>
      <x:c r="R148" s="138"/>
      <x:c r="S148" s="138"/>
      <x:c r="T148" s="138"/>
      <x:c r="U148" s="138"/>
      <x:c r="V148" s="138"/>
      <x:c r="W148" s="138"/>
      <x:c r="X148" s="138"/>
      <x:c r="Y148" s="138"/>
      <x:c r="Z148" s="138"/>
    </x:row>
    <x:row r="149">
      <x:c r="A149" s="138"/>
      <x:c r="B149" s="138"/>
      <x:c r="C149" s="138"/>
      <x:c r="D149" s="138"/>
      <x:c r="E149" s="138"/>
      <x:c r="F149" s="138"/>
      <x:c r="G149" s="138"/>
      <x:c r="H149" s="138"/>
      <x:c r="I149" s="138"/>
      <x:c r="J149" s="138"/>
      <x:c r="K149" s="138"/>
      <x:c r="L149" s="138"/>
      <x:c r="M149" s="138"/>
      <x:c r="N149" s="138"/>
      <x:c r="O149" s="138"/>
      <x:c r="P149" s="138"/>
      <x:c r="Q149" s="138"/>
      <x:c r="R149" s="138"/>
      <x:c r="S149" s="138"/>
      <x:c r="T149" s="138"/>
      <x:c r="U149" s="138"/>
      <x:c r="V149" s="138"/>
      <x:c r="W149" s="138"/>
      <x:c r="X149" s="138"/>
      <x:c r="Y149" s="138"/>
      <x:c r="Z149" s="138"/>
    </x:row>
    <x:row r="150">
      <x:c r="A150" s="138"/>
      <x:c r="B150" s="138"/>
      <x:c r="C150" s="138"/>
      <x:c r="D150" s="138"/>
      <x:c r="E150" s="138"/>
      <x:c r="F150" s="138"/>
      <x:c r="G150" s="138"/>
      <x:c r="H150" s="138"/>
      <x:c r="I150" s="138"/>
      <x:c r="J150" s="138"/>
      <x:c r="K150" s="138"/>
      <x:c r="L150" s="138"/>
      <x:c r="M150" s="138"/>
      <x:c r="N150" s="138"/>
      <x:c r="O150" s="138"/>
      <x:c r="P150" s="138"/>
      <x:c r="Q150" s="138"/>
      <x:c r="R150" s="138"/>
      <x:c r="S150" s="138"/>
      <x:c r="T150" s="138"/>
      <x:c r="U150" s="138"/>
      <x:c r="V150" s="138"/>
      <x:c r="W150" s="138"/>
      <x:c r="X150" s="138"/>
      <x:c r="Y150" s="138"/>
      <x:c r="Z150" s="138"/>
    </x:row>
    <x:row r="151">
      <x:c r="A151" s="138"/>
      <x:c r="B151" s="138"/>
      <x:c r="C151" s="138"/>
      <x:c r="D151" s="138"/>
      <x:c r="E151" s="138"/>
      <x:c r="F151" s="138"/>
      <x:c r="G151" s="138"/>
      <x:c r="H151" s="138"/>
      <x:c r="I151" s="138"/>
      <x:c r="J151" s="138"/>
      <x:c r="K151" s="138"/>
      <x:c r="L151" s="138"/>
      <x:c r="M151" s="138"/>
      <x:c r="N151" s="138"/>
      <x:c r="O151" s="138"/>
      <x:c r="P151" s="138"/>
      <x:c r="Q151" s="138"/>
      <x:c r="R151" s="138"/>
      <x:c r="S151" s="138"/>
      <x:c r="T151" s="138"/>
      <x:c r="U151" s="138"/>
      <x:c r="V151" s="138"/>
      <x:c r="W151" s="138"/>
      <x:c r="X151" s="138"/>
      <x:c r="Y151" s="138"/>
      <x:c r="Z151" s="138"/>
    </x:row>
    <x:row r="152">
      <x:c r="A152" s="138"/>
      <x:c r="B152" s="138"/>
      <x:c r="C152" s="138"/>
      <x:c r="D152" s="138"/>
      <x:c r="E152" s="138"/>
      <x:c r="F152" s="138"/>
      <x:c r="G152" s="138"/>
      <x:c r="H152" s="138"/>
      <x:c r="I152" s="138"/>
      <x:c r="J152" s="138"/>
      <x:c r="K152" s="138"/>
      <x:c r="L152" s="138"/>
      <x:c r="M152" s="138"/>
      <x:c r="N152" s="138"/>
      <x:c r="O152" s="138"/>
      <x:c r="P152" s="138"/>
      <x:c r="Q152" s="138"/>
      <x:c r="R152" s="138"/>
      <x:c r="S152" s="138"/>
      <x:c r="T152" s="138"/>
      <x:c r="U152" s="138"/>
      <x:c r="V152" s="138"/>
      <x:c r="W152" s="138"/>
      <x:c r="X152" s="138"/>
      <x:c r="Y152" s="138"/>
      <x:c r="Z152" s="138"/>
    </x:row>
    <x:row r="153">
      <x:c r="A153" s="138"/>
      <x:c r="B153" s="138"/>
      <x:c r="C153" s="138"/>
      <x:c r="D153" s="138"/>
      <x:c r="E153" s="138"/>
      <x:c r="F153" s="138"/>
      <x:c r="G153" s="138"/>
      <x:c r="H153" s="138"/>
      <x:c r="I153" s="138"/>
      <x:c r="J153" s="138"/>
      <x:c r="K153" s="138"/>
      <x:c r="L153" s="138"/>
      <x:c r="M153" s="138"/>
      <x:c r="N153" s="138"/>
      <x:c r="O153" s="138"/>
      <x:c r="P153" s="138"/>
      <x:c r="Q153" s="138"/>
      <x:c r="R153" s="138"/>
      <x:c r="S153" s="138"/>
      <x:c r="T153" s="138"/>
      <x:c r="U153" s="138"/>
      <x:c r="V153" s="138"/>
      <x:c r="W153" s="138"/>
      <x:c r="X153" s="138"/>
      <x:c r="Y153" s="138"/>
      <x:c r="Z153" s="138"/>
    </x:row>
    <x:row r="154">
      <x:c r="A154" s="138"/>
      <x:c r="B154" s="138"/>
      <x:c r="C154" s="138"/>
      <x:c r="D154" s="138"/>
      <x:c r="E154" s="138"/>
      <x:c r="F154" s="138"/>
      <x:c r="G154" s="138"/>
      <x:c r="H154" s="138"/>
      <x:c r="I154" s="138"/>
      <x:c r="J154" s="138"/>
      <x:c r="K154" s="138"/>
      <x:c r="L154" s="138"/>
      <x:c r="M154" s="138"/>
      <x:c r="N154" s="138"/>
      <x:c r="O154" s="138"/>
      <x:c r="P154" s="138"/>
      <x:c r="Q154" s="138"/>
      <x:c r="R154" s="138"/>
      <x:c r="S154" s="138"/>
      <x:c r="T154" s="138"/>
      <x:c r="U154" s="138"/>
      <x:c r="V154" s="138"/>
      <x:c r="W154" s="138"/>
      <x:c r="X154" s="138"/>
      <x:c r="Y154" s="138"/>
      <x:c r="Z154" s="138"/>
    </x:row>
    <x:row r="155">
      <x:c r="A155" s="138"/>
      <x:c r="B155" s="138"/>
      <x:c r="C155" s="138"/>
      <x:c r="D155" s="138"/>
      <x:c r="E155" s="138"/>
      <x:c r="F155" s="138"/>
      <x:c r="G155" s="138"/>
      <x:c r="H155" s="138"/>
      <x:c r="I155" s="138"/>
      <x:c r="J155" s="138"/>
      <x:c r="K155" s="138"/>
      <x:c r="L155" s="138"/>
      <x:c r="M155" s="138"/>
      <x:c r="N155" s="138"/>
      <x:c r="O155" s="138"/>
      <x:c r="P155" s="138"/>
      <x:c r="Q155" s="138"/>
      <x:c r="R155" s="138"/>
      <x:c r="S155" s="138"/>
      <x:c r="T155" s="138"/>
      <x:c r="U155" s="138"/>
      <x:c r="V155" s="138"/>
      <x:c r="W155" s="138"/>
      <x:c r="X155" s="138"/>
      <x:c r="Y155" s="138"/>
      <x:c r="Z155" s="138"/>
    </x:row>
    <x:row r="156">
      <x:c r="A156" s="138"/>
      <x:c r="B156" s="138"/>
      <x:c r="C156" s="138"/>
      <x:c r="D156" s="138"/>
      <x:c r="E156" s="138"/>
      <x:c r="F156" s="138"/>
      <x:c r="G156" s="138"/>
      <x:c r="H156" s="138"/>
      <x:c r="I156" s="138"/>
      <x:c r="J156" s="138"/>
      <x:c r="K156" s="138"/>
      <x:c r="L156" s="138"/>
      <x:c r="M156" s="138"/>
      <x:c r="N156" s="138"/>
      <x:c r="O156" s="138"/>
      <x:c r="P156" s="138"/>
      <x:c r="Q156" s="138"/>
      <x:c r="R156" s="138"/>
      <x:c r="S156" s="138"/>
      <x:c r="T156" s="138"/>
      <x:c r="U156" s="138"/>
      <x:c r="V156" s="138"/>
      <x:c r="W156" s="138"/>
      <x:c r="X156" s="138"/>
      <x:c r="Y156" s="138"/>
      <x:c r="Z156" s="138"/>
    </x:row>
    <x:row r="157">
      <x:c r="A157" s="138"/>
      <x:c r="B157" s="138"/>
      <x:c r="C157" s="138"/>
      <x:c r="D157" s="138"/>
      <x:c r="E157" s="138"/>
      <x:c r="F157" s="138"/>
      <x:c r="G157" s="138"/>
      <x:c r="H157" s="138"/>
      <x:c r="I157" s="138"/>
      <x:c r="J157" s="138"/>
      <x:c r="K157" s="138"/>
      <x:c r="L157" s="138"/>
      <x:c r="M157" s="138"/>
      <x:c r="N157" s="138"/>
      <x:c r="O157" s="138"/>
      <x:c r="P157" s="138"/>
      <x:c r="Q157" s="138"/>
      <x:c r="R157" s="138"/>
      <x:c r="S157" s="138"/>
      <x:c r="T157" s="138"/>
      <x:c r="U157" s="138"/>
      <x:c r="V157" s="138"/>
      <x:c r="W157" s="138"/>
      <x:c r="X157" s="138"/>
      <x:c r="Y157" s="138"/>
      <x:c r="Z157" s="138"/>
    </x:row>
    <x:row r="158">
      <x:c r="A158" s="138"/>
      <x:c r="B158" s="138"/>
      <x:c r="C158" s="138"/>
      <x:c r="D158" s="138"/>
      <x:c r="E158" s="138"/>
      <x:c r="F158" s="138"/>
      <x:c r="G158" s="138"/>
      <x:c r="H158" s="138"/>
      <x:c r="I158" s="138"/>
      <x:c r="J158" s="138"/>
      <x:c r="K158" s="138"/>
      <x:c r="L158" s="138"/>
      <x:c r="M158" s="138"/>
      <x:c r="N158" s="138"/>
      <x:c r="O158" s="138"/>
      <x:c r="P158" s="138"/>
      <x:c r="Q158" s="138"/>
      <x:c r="R158" s="138"/>
      <x:c r="S158" s="138"/>
      <x:c r="T158" s="138"/>
      <x:c r="U158" s="138"/>
      <x:c r="V158" s="138"/>
      <x:c r="W158" s="138"/>
      <x:c r="X158" s="138"/>
      <x:c r="Y158" s="138"/>
      <x:c r="Z158" s="138"/>
    </x:row>
    <x:row r="159">
      <x:c r="A159" s="138"/>
      <x:c r="B159" s="138"/>
      <x:c r="C159" s="138"/>
      <x:c r="D159" s="138"/>
      <x:c r="E159" s="138"/>
      <x:c r="F159" s="138"/>
      <x:c r="G159" s="138"/>
      <x:c r="H159" s="138"/>
      <x:c r="I159" s="138"/>
      <x:c r="J159" s="138"/>
      <x:c r="K159" s="138"/>
      <x:c r="L159" s="138"/>
      <x:c r="M159" s="138"/>
      <x:c r="N159" s="138"/>
      <x:c r="O159" s="138"/>
      <x:c r="P159" s="138"/>
      <x:c r="Q159" s="138"/>
      <x:c r="R159" s="138"/>
      <x:c r="S159" s="138"/>
      <x:c r="T159" s="138"/>
      <x:c r="U159" s="138"/>
      <x:c r="V159" s="138"/>
      <x:c r="W159" s="138"/>
      <x:c r="X159" s="138"/>
      <x:c r="Y159" s="138"/>
      <x:c r="Z159" s="138"/>
    </x:row>
    <x:row r="160">
      <x:c r="A160" s="138"/>
      <x:c r="B160" s="138"/>
      <x:c r="C160" s="138"/>
      <x:c r="D160" s="138"/>
      <x:c r="E160" s="138"/>
      <x:c r="F160" s="138"/>
      <x:c r="G160" s="138"/>
      <x:c r="H160" s="138"/>
      <x:c r="I160" s="138"/>
      <x:c r="J160" s="138"/>
      <x:c r="K160" s="138"/>
      <x:c r="L160" s="138"/>
      <x:c r="M160" s="138"/>
      <x:c r="N160" s="138"/>
      <x:c r="O160" s="138"/>
      <x:c r="P160" s="138"/>
      <x:c r="Q160" s="138"/>
      <x:c r="R160" s="138"/>
      <x:c r="S160" s="138"/>
      <x:c r="T160" s="138"/>
      <x:c r="U160" s="138"/>
      <x:c r="V160" s="138"/>
      <x:c r="W160" s="138"/>
      <x:c r="X160" s="138"/>
      <x:c r="Y160" s="138"/>
      <x:c r="Z160" s="138"/>
    </x:row>
    <x:row r="161">
      <x:c r="A161" s="138"/>
      <x:c r="B161" s="138"/>
      <x:c r="C161" s="138"/>
      <x:c r="D161" s="138"/>
      <x:c r="E161" s="138"/>
      <x:c r="F161" s="138"/>
      <x:c r="G161" s="138"/>
      <x:c r="H161" s="138"/>
      <x:c r="I161" s="138"/>
      <x:c r="J161" s="138"/>
      <x:c r="K161" s="138"/>
      <x:c r="L161" s="138"/>
      <x:c r="M161" s="138"/>
      <x:c r="N161" s="138"/>
      <x:c r="O161" s="138"/>
      <x:c r="P161" s="138"/>
      <x:c r="Q161" s="138"/>
      <x:c r="R161" s="138"/>
      <x:c r="S161" s="138"/>
      <x:c r="T161" s="138"/>
      <x:c r="U161" s="138"/>
      <x:c r="V161" s="138"/>
      <x:c r="W161" s="138"/>
      <x:c r="X161" s="138"/>
      <x:c r="Y161" s="138"/>
      <x:c r="Z161" s="138"/>
    </x:row>
    <x:row r="162">
      <x:c r="A162" s="138"/>
      <x:c r="B162" s="138"/>
      <x:c r="C162" s="138"/>
      <x:c r="D162" s="138"/>
      <x:c r="E162" s="138"/>
      <x:c r="F162" s="138"/>
      <x:c r="G162" s="138"/>
      <x:c r="H162" s="138"/>
      <x:c r="I162" s="138"/>
      <x:c r="J162" s="138"/>
      <x:c r="K162" s="138"/>
      <x:c r="L162" s="138"/>
      <x:c r="M162" s="138"/>
      <x:c r="N162" s="138"/>
      <x:c r="O162" s="138"/>
      <x:c r="P162" s="138"/>
      <x:c r="Q162" s="138"/>
      <x:c r="R162" s="138"/>
      <x:c r="S162" s="138"/>
      <x:c r="T162" s="138"/>
      <x:c r="U162" s="138"/>
      <x:c r="V162" s="138"/>
      <x:c r="W162" s="138"/>
      <x:c r="X162" s="138"/>
      <x:c r="Y162" s="138"/>
      <x:c r="Z162" s="138"/>
    </x:row>
    <x:row r="163">
      <x:c r="A163" s="138"/>
      <x:c r="B163" s="138"/>
      <x:c r="C163" s="138"/>
      <x:c r="D163" s="138"/>
      <x:c r="E163" s="138"/>
      <x:c r="F163" s="138"/>
      <x:c r="G163" s="138"/>
      <x:c r="H163" s="138"/>
      <x:c r="I163" s="138"/>
      <x:c r="J163" s="138"/>
      <x:c r="K163" s="138"/>
      <x:c r="L163" s="138"/>
      <x:c r="M163" s="138"/>
      <x:c r="N163" s="138"/>
      <x:c r="O163" s="138"/>
      <x:c r="P163" s="138"/>
      <x:c r="Q163" s="138"/>
      <x:c r="R163" s="138"/>
      <x:c r="S163" s="138"/>
      <x:c r="T163" s="138"/>
      <x:c r="U163" s="138"/>
      <x:c r="V163" s="138"/>
      <x:c r="W163" s="138"/>
      <x:c r="X163" s="138"/>
      <x:c r="Y163" s="138"/>
      <x:c r="Z163" s="138"/>
    </x:row>
    <x:row r="164">
      <x:c r="A164" s="138"/>
      <x:c r="B164" s="138"/>
      <x:c r="C164" s="138"/>
      <x:c r="D164" s="138"/>
      <x:c r="E164" s="138"/>
      <x:c r="F164" s="138"/>
      <x:c r="G164" s="138"/>
      <x:c r="H164" s="138"/>
      <x:c r="I164" s="138"/>
      <x:c r="J164" s="138"/>
      <x:c r="K164" s="138"/>
      <x:c r="L164" s="138"/>
      <x:c r="M164" s="138"/>
      <x:c r="N164" s="138"/>
      <x:c r="O164" s="138"/>
      <x:c r="P164" s="138"/>
      <x:c r="Q164" s="138"/>
      <x:c r="R164" s="138"/>
      <x:c r="S164" s="138"/>
      <x:c r="T164" s="138"/>
      <x:c r="U164" s="138"/>
      <x:c r="V164" s="138"/>
      <x:c r="W164" s="138"/>
      <x:c r="X164" s="138"/>
      <x:c r="Y164" s="138"/>
      <x:c r="Z164" s="138"/>
    </x:row>
    <x:row r="165">
      <x:c r="A165" s="138"/>
      <x:c r="B165" s="138"/>
      <x:c r="C165" s="138"/>
      <x:c r="D165" s="138"/>
      <x:c r="E165" s="138"/>
      <x:c r="F165" s="138"/>
      <x:c r="G165" s="138"/>
      <x:c r="H165" s="138"/>
      <x:c r="I165" s="138"/>
      <x:c r="J165" s="138"/>
      <x:c r="K165" s="138"/>
      <x:c r="L165" s="138"/>
      <x:c r="M165" s="138"/>
      <x:c r="N165" s="138"/>
      <x:c r="O165" s="138"/>
      <x:c r="P165" s="138"/>
      <x:c r="Q165" s="138"/>
      <x:c r="R165" s="138"/>
      <x:c r="S165" s="138"/>
      <x:c r="T165" s="138"/>
      <x:c r="U165" s="138"/>
      <x:c r="V165" s="138"/>
      <x:c r="W165" s="138"/>
      <x:c r="X165" s="138"/>
      <x:c r="Y165" s="138"/>
      <x:c r="Z165" s="138"/>
    </x:row>
    <x:row r="166">
      <x:c r="A166" s="138"/>
      <x:c r="B166" s="138"/>
      <x:c r="C166" s="138"/>
      <x:c r="D166" s="138"/>
      <x:c r="E166" s="138"/>
      <x:c r="F166" s="138"/>
      <x:c r="G166" s="138"/>
      <x:c r="H166" s="138"/>
      <x:c r="I166" s="138"/>
      <x:c r="J166" s="138"/>
      <x:c r="K166" s="138"/>
      <x:c r="L166" s="138"/>
      <x:c r="M166" s="138"/>
      <x:c r="N166" s="138"/>
      <x:c r="O166" s="138"/>
      <x:c r="P166" s="138"/>
      <x:c r="Q166" s="138"/>
      <x:c r="R166" s="138"/>
      <x:c r="S166" s="138"/>
      <x:c r="T166" s="138"/>
      <x:c r="U166" s="138"/>
      <x:c r="V166" s="138"/>
      <x:c r="W166" s="138"/>
      <x:c r="X166" s="138"/>
      <x:c r="Y166" s="138"/>
      <x:c r="Z166" s="138"/>
    </x:row>
    <x:row r="167">
      <x:c r="A167" s="138"/>
      <x:c r="B167" s="138"/>
      <x:c r="C167" s="138"/>
      <x:c r="D167" s="138"/>
      <x:c r="E167" s="138"/>
      <x:c r="F167" s="138"/>
      <x:c r="G167" s="138"/>
      <x:c r="H167" s="138"/>
      <x:c r="I167" s="138"/>
      <x:c r="J167" s="138"/>
      <x:c r="K167" s="138"/>
      <x:c r="L167" s="138"/>
      <x:c r="M167" s="138"/>
      <x:c r="N167" s="138"/>
      <x:c r="O167" s="138"/>
      <x:c r="P167" s="138"/>
      <x:c r="Q167" s="138"/>
      <x:c r="R167" s="138"/>
      <x:c r="S167" s="138"/>
      <x:c r="T167" s="138"/>
      <x:c r="U167" s="138"/>
      <x:c r="V167" s="138"/>
      <x:c r="W167" s="138"/>
      <x:c r="X167" s="138"/>
      <x:c r="Y167" s="138"/>
      <x:c r="Z167" s="138"/>
    </x:row>
    <x:row r="168">
      <x:c r="A168" s="138"/>
      <x:c r="B168" s="138"/>
      <x:c r="C168" s="138"/>
      <x:c r="D168" s="138"/>
      <x:c r="E168" s="138"/>
      <x:c r="F168" s="138"/>
      <x:c r="G168" s="138"/>
      <x:c r="H168" s="138"/>
      <x:c r="I168" s="138"/>
      <x:c r="J168" s="138"/>
      <x:c r="K168" s="138"/>
      <x:c r="L168" s="138"/>
      <x:c r="M168" s="138"/>
      <x:c r="N168" s="138"/>
      <x:c r="O168" s="138"/>
      <x:c r="P168" s="138"/>
      <x:c r="Q168" s="138"/>
      <x:c r="R168" s="138"/>
      <x:c r="S168" s="138"/>
      <x:c r="T168" s="138"/>
      <x:c r="U168" s="138"/>
      <x:c r="V168" s="138"/>
      <x:c r="W168" s="138"/>
      <x:c r="X168" s="138"/>
      <x:c r="Y168" s="138"/>
      <x:c r="Z168" s="138"/>
    </x:row>
    <x:row r="169">
      <x:c r="A169" s="138"/>
      <x:c r="B169" s="138"/>
      <x:c r="C169" s="138"/>
      <x:c r="D169" s="138"/>
      <x:c r="E169" s="138"/>
      <x:c r="F169" s="138"/>
      <x:c r="G169" s="138"/>
      <x:c r="H169" s="138"/>
      <x:c r="I169" s="138"/>
      <x:c r="J169" s="138"/>
      <x:c r="K169" s="138"/>
      <x:c r="L169" s="138"/>
      <x:c r="M169" s="138"/>
      <x:c r="N169" s="138"/>
      <x:c r="O169" s="138"/>
      <x:c r="P169" s="138"/>
      <x:c r="Q169" s="138"/>
      <x:c r="R169" s="138"/>
      <x:c r="S169" s="138"/>
      <x:c r="T169" s="138"/>
      <x:c r="U169" s="138"/>
      <x:c r="V169" s="138"/>
      <x:c r="W169" s="138"/>
      <x:c r="X169" s="138"/>
      <x:c r="Y169" s="138"/>
      <x:c r="Z169" s="138"/>
    </x:row>
    <x:row r="170">
      <x:c r="A170" s="138"/>
      <x:c r="B170" s="138"/>
      <x:c r="C170" s="138"/>
      <x:c r="D170" s="138"/>
      <x:c r="E170" s="138"/>
      <x:c r="F170" s="138"/>
      <x:c r="G170" s="138"/>
      <x:c r="H170" s="138"/>
      <x:c r="I170" s="138"/>
      <x:c r="J170" s="138"/>
      <x:c r="K170" s="138"/>
      <x:c r="L170" s="138"/>
      <x:c r="M170" s="138"/>
      <x:c r="N170" s="138"/>
      <x:c r="O170" s="138"/>
      <x:c r="P170" s="138"/>
      <x:c r="Q170" s="138"/>
      <x:c r="R170" s="138"/>
      <x:c r="S170" s="138"/>
      <x:c r="T170" s="138"/>
      <x:c r="U170" s="138"/>
      <x:c r="V170" s="138"/>
      <x:c r="W170" s="138"/>
      <x:c r="X170" s="138"/>
      <x:c r="Y170" s="138"/>
      <x:c r="Z170" s="138"/>
    </x:row>
    <x:row r="171">
      <x:c r="A171" s="138"/>
      <x:c r="B171" s="138"/>
      <x:c r="C171" s="138"/>
      <x:c r="D171" s="138"/>
      <x:c r="E171" s="138"/>
      <x:c r="F171" s="138"/>
      <x:c r="G171" s="138"/>
      <x:c r="H171" s="138"/>
      <x:c r="I171" s="138"/>
      <x:c r="J171" s="138"/>
      <x:c r="K171" s="138"/>
      <x:c r="L171" s="138"/>
      <x:c r="M171" s="138"/>
      <x:c r="N171" s="138"/>
      <x:c r="O171" s="138"/>
      <x:c r="P171" s="138"/>
      <x:c r="Q171" s="138"/>
      <x:c r="R171" s="138"/>
      <x:c r="S171" s="138"/>
      <x:c r="T171" s="138"/>
      <x:c r="U171" s="138"/>
      <x:c r="V171" s="138"/>
      <x:c r="W171" s="138"/>
      <x:c r="X171" s="138"/>
      <x:c r="Y171" s="138"/>
      <x:c r="Z171" s="138"/>
    </x:row>
    <x:row r="172">
      <x:c r="A172" s="138"/>
      <x:c r="B172" s="138"/>
      <x:c r="C172" s="138"/>
      <x:c r="D172" s="138"/>
      <x:c r="E172" s="138"/>
      <x:c r="F172" s="138"/>
      <x:c r="G172" s="138"/>
      <x:c r="H172" s="138"/>
      <x:c r="I172" s="138"/>
      <x:c r="J172" s="138"/>
      <x:c r="K172" s="138"/>
      <x:c r="L172" s="138"/>
      <x:c r="M172" s="138"/>
      <x:c r="N172" s="138"/>
      <x:c r="O172" s="138"/>
      <x:c r="P172" s="138"/>
      <x:c r="Q172" s="138"/>
      <x:c r="R172" s="138"/>
      <x:c r="S172" s="138"/>
      <x:c r="T172" s="138"/>
      <x:c r="U172" s="138"/>
      <x:c r="V172" s="138"/>
      <x:c r="W172" s="138"/>
      <x:c r="X172" s="138"/>
      <x:c r="Y172" s="138"/>
      <x:c r="Z172" s="138"/>
    </x:row>
    <x:row r="173">
      <x:c r="A173" s="138"/>
      <x:c r="B173" s="138"/>
      <x:c r="C173" s="138"/>
      <x:c r="D173" s="138"/>
      <x:c r="E173" s="138"/>
      <x:c r="F173" s="138"/>
      <x:c r="G173" s="138"/>
      <x:c r="H173" s="138"/>
      <x:c r="I173" s="138"/>
      <x:c r="J173" s="138"/>
      <x:c r="K173" s="138"/>
      <x:c r="L173" s="138"/>
      <x:c r="M173" s="138"/>
      <x:c r="N173" s="138"/>
      <x:c r="O173" s="138"/>
      <x:c r="P173" s="138"/>
      <x:c r="Q173" s="138"/>
      <x:c r="R173" s="138"/>
      <x:c r="S173" s="138"/>
      <x:c r="T173" s="138"/>
      <x:c r="U173" s="138"/>
      <x:c r="V173" s="138"/>
      <x:c r="W173" s="138"/>
      <x:c r="X173" s="138"/>
      <x:c r="Y173" s="138"/>
      <x:c r="Z173" s="138"/>
    </x:row>
    <x:row r="174">
      <x:c r="A174" s="138"/>
      <x:c r="B174" s="138"/>
      <x:c r="C174" s="138"/>
      <x:c r="D174" s="138"/>
      <x:c r="E174" s="138"/>
      <x:c r="F174" s="138"/>
      <x:c r="G174" s="138"/>
      <x:c r="H174" s="138"/>
      <x:c r="I174" s="138"/>
      <x:c r="J174" s="138"/>
      <x:c r="K174" s="138"/>
      <x:c r="L174" s="138"/>
      <x:c r="M174" s="138"/>
      <x:c r="N174" s="138"/>
      <x:c r="O174" s="138"/>
      <x:c r="P174" s="138"/>
      <x:c r="Q174" s="138"/>
      <x:c r="R174" s="138"/>
      <x:c r="S174" s="138"/>
      <x:c r="T174" s="138"/>
      <x:c r="U174" s="138"/>
      <x:c r="V174" s="138"/>
      <x:c r="W174" s="138"/>
      <x:c r="X174" s="138"/>
      <x:c r="Y174" s="138"/>
      <x:c r="Z174" s="138"/>
    </x:row>
    <x:row r="175">
      <x:c r="A175" s="138"/>
      <x:c r="B175" s="138"/>
      <x:c r="C175" s="138"/>
      <x:c r="D175" s="138"/>
      <x:c r="E175" s="138"/>
      <x:c r="F175" s="138"/>
      <x:c r="G175" s="138"/>
      <x:c r="H175" s="138"/>
      <x:c r="I175" s="138"/>
      <x:c r="J175" s="138"/>
      <x:c r="K175" s="138"/>
      <x:c r="L175" s="138"/>
      <x:c r="M175" s="138"/>
      <x:c r="N175" s="138"/>
      <x:c r="O175" s="138"/>
      <x:c r="P175" s="138"/>
      <x:c r="Q175" s="138"/>
      <x:c r="R175" s="138"/>
      <x:c r="S175" s="138"/>
      <x:c r="T175" s="138"/>
      <x:c r="U175" s="138"/>
      <x:c r="V175" s="138"/>
      <x:c r="W175" s="138"/>
      <x:c r="X175" s="138"/>
      <x:c r="Y175" s="138"/>
      <x:c r="Z175" s="138"/>
    </x:row>
    <x:row r="176">
      <x:c r="A176" s="138"/>
      <x:c r="B176" s="138"/>
      <x:c r="C176" s="138"/>
      <x:c r="D176" s="138"/>
      <x:c r="E176" s="138"/>
      <x:c r="F176" s="138"/>
      <x:c r="G176" s="138"/>
      <x:c r="H176" s="138"/>
      <x:c r="I176" s="138"/>
      <x:c r="J176" s="138"/>
      <x:c r="K176" s="138"/>
      <x:c r="L176" s="138"/>
      <x:c r="M176" s="138"/>
      <x:c r="N176" s="138"/>
      <x:c r="O176" s="138"/>
      <x:c r="P176" s="138"/>
      <x:c r="Q176" s="138"/>
      <x:c r="R176" s="138"/>
      <x:c r="S176" s="138"/>
      <x:c r="T176" s="138"/>
      <x:c r="U176" s="138"/>
      <x:c r="V176" s="138"/>
      <x:c r="W176" s="138"/>
      <x:c r="X176" s="138"/>
      <x:c r="Y176" s="138"/>
      <x:c r="Z176" s="138"/>
    </x:row>
    <x:row r="177">
      <x:c r="A177" s="138"/>
      <x:c r="B177" s="138"/>
      <x:c r="C177" s="138"/>
      <x:c r="D177" s="138"/>
      <x:c r="E177" s="138"/>
      <x:c r="F177" s="138"/>
      <x:c r="G177" s="138"/>
      <x:c r="H177" s="138"/>
      <x:c r="I177" s="138"/>
      <x:c r="J177" s="138"/>
      <x:c r="K177" s="138"/>
      <x:c r="L177" s="138"/>
      <x:c r="M177" s="138"/>
      <x:c r="N177" s="138"/>
      <x:c r="O177" s="138"/>
      <x:c r="P177" s="138"/>
      <x:c r="Q177" s="138"/>
      <x:c r="R177" s="138"/>
      <x:c r="S177" s="138"/>
      <x:c r="T177" s="138"/>
      <x:c r="U177" s="138"/>
      <x:c r="V177" s="138"/>
      <x:c r="W177" s="138"/>
      <x:c r="X177" s="138"/>
      <x:c r="Y177" s="138"/>
      <x:c r="Z177" s="138"/>
    </x:row>
    <x:row r="178">
      <x:c r="A178" s="138"/>
      <x:c r="B178" s="138"/>
      <x:c r="C178" s="138"/>
      <x:c r="D178" s="138"/>
      <x:c r="E178" s="138"/>
      <x:c r="F178" s="138"/>
      <x:c r="G178" s="138"/>
      <x:c r="H178" s="138"/>
      <x:c r="I178" s="138"/>
      <x:c r="J178" s="138"/>
      <x:c r="K178" s="138"/>
      <x:c r="L178" s="138"/>
      <x:c r="M178" s="138"/>
      <x:c r="N178" s="138"/>
      <x:c r="O178" s="138"/>
      <x:c r="P178" s="138"/>
      <x:c r="Q178" s="138"/>
      <x:c r="R178" s="138"/>
      <x:c r="S178" s="138"/>
      <x:c r="T178" s="138"/>
      <x:c r="U178" s="138"/>
      <x:c r="V178" s="138"/>
      <x:c r="W178" s="138"/>
      <x:c r="X178" s="138"/>
      <x:c r="Y178" s="138"/>
      <x:c r="Z178" s="138"/>
    </x:row>
    <x:row r="179">
      <x:c r="A179" s="138"/>
      <x:c r="B179" s="138"/>
      <x:c r="C179" s="138"/>
      <x:c r="D179" s="138"/>
      <x:c r="E179" s="138"/>
      <x:c r="F179" s="138"/>
      <x:c r="G179" s="138"/>
      <x:c r="H179" s="138"/>
      <x:c r="I179" s="138"/>
      <x:c r="J179" s="138"/>
      <x:c r="K179" s="138"/>
      <x:c r="L179" s="138"/>
      <x:c r="M179" s="138"/>
      <x:c r="N179" s="138"/>
      <x:c r="O179" s="138"/>
      <x:c r="P179" s="138"/>
      <x:c r="Q179" s="138"/>
      <x:c r="R179" s="138"/>
      <x:c r="S179" s="138"/>
      <x:c r="T179" s="138"/>
      <x:c r="U179" s="138"/>
      <x:c r="V179" s="138"/>
      <x:c r="W179" s="138"/>
      <x:c r="X179" s="138"/>
      <x:c r="Y179" s="138"/>
      <x:c r="Z179" s="138"/>
    </x:row>
    <x:row r="180">
      <x:c r="A180" s="138"/>
      <x:c r="B180" s="138"/>
      <x:c r="C180" s="138"/>
      <x:c r="D180" s="138"/>
      <x:c r="E180" s="138"/>
      <x:c r="F180" s="138"/>
      <x:c r="G180" s="138"/>
      <x:c r="H180" s="138"/>
      <x:c r="I180" s="138"/>
      <x:c r="J180" s="138"/>
      <x:c r="K180" s="138"/>
      <x:c r="L180" s="138"/>
      <x:c r="M180" s="138"/>
      <x:c r="N180" s="138"/>
      <x:c r="O180" s="138"/>
      <x:c r="P180" s="138"/>
      <x:c r="Q180" s="138"/>
      <x:c r="R180" s="138"/>
      <x:c r="S180" s="138"/>
      <x:c r="T180" s="138"/>
      <x:c r="U180" s="138"/>
      <x:c r="V180" s="138"/>
      <x:c r="W180" s="138"/>
      <x:c r="X180" s="138"/>
      <x:c r="Y180" s="138"/>
      <x:c r="Z180" s="138"/>
    </x:row>
    <x:row r="181">
      <x:c r="A181" s="138"/>
      <x:c r="B181" s="138"/>
      <x:c r="C181" s="138"/>
      <x:c r="D181" s="138"/>
      <x:c r="E181" s="138"/>
      <x:c r="F181" s="138"/>
      <x:c r="G181" s="138"/>
      <x:c r="H181" s="138"/>
      <x:c r="I181" s="138"/>
      <x:c r="J181" s="138"/>
      <x:c r="K181" s="138"/>
      <x:c r="L181" s="138"/>
      <x:c r="M181" s="138"/>
      <x:c r="N181" s="138"/>
      <x:c r="O181" s="138"/>
      <x:c r="P181" s="138"/>
      <x:c r="Q181" s="138"/>
      <x:c r="R181" s="138"/>
      <x:c r="S181" s="138"/>
      <x:c r="T181" s="138"/>
      <x:c r="U181" s="138"/>
      <x:c r="V181" s="138"/>
      <x:c r="W181" s="138"/>
      <x:c r="X181" s="138"/>
      <x:c r="Y181" s="138"/>
      <x:c r="Z181" s="138"/>
    </x:row>
    <x:row r="182">
      <x:c r="A182" s="138"/>
      <x:c r="B182" s="138"/>
      <x:c r="C182" s="138"/>
      <x:c r="D182" s="138"/>
      <x:c r="E182" s="138"/>
      <x:c r="F182" s="138"/>
      <x:c r="G182" s="138"/>
      <x:c r="H182" s="138"/>
      <x:c r="I182" s="138"/>
      <x:c r="J182" s="138"/>
      <x:c r="K182" s="138"/>
      <x:c r="L182" s="138"/>
      <x:c r="M182" s="138"/>
      <x:c r="N182" s="138"/>
      <x:c r="O182" s="138"/>
      <x:c r="P182" s="138"/>
      <x:c r="Q182" s="138"/>
      <x:c r="R182" s="138"/>
      <x:c r="S182" s="138"/>
      <x:c r="T182" s="138"/>
      <x:c r="U182" s="138"/>
      <x:c r="V182" s="138"/>
      <x:c r="W182" s="138"/>
      <x:c r="X182" s="138"/>
      <x:c r="Y182" s="138"/>
      <x:c r="Z182" s="138"/>
    </x:row>
    <x:row r="183">
      <x:c r="A183" s="138"/>
      <x:c r="B183" s="138"/>
      <x:c r="C183" s="138"/>
      <x:c r="D183" s="138"/>
      <x:c r="E183" s="138"/>
      <x:c r="F183" s="138"/>
      <x:c r="G183" s="138"/>
      <x:c r="H183" s="138"/>
      <x:c r="I183" s="138"/>
      <x:c r="J183" s="138"/>
      <x:c r="K183" s="138"/>
      <x:c r="L183" s="138"/>
      <x:c r="M183" s="138"/>
      <x:c r="N183" s="138"/>
      <x:c r="O183" s="138"/>
      <x:c r="P183" s="138"/>
      <x:c r="Q183" s="138"/>
      <x:c r="R183" s="138"/>
      <x:c r="S183" s="138"/>
      <x:c r="T183" s="138"/>
      <x:c r="U183" s="138"/>
      <x:c r="V183" s="138"/>
      <x:c r="W183" s="138"/>
      <x:c r="X183" s="138"/>
      <x:c r="Y183" s="138"/>
      <x:c r="Z183" s="138"/>
    </x:row>
    <x:row r="184">
      <x:c r="A184" s="138"/>
      <x:c r="B184" s="138"/>
      <x:c r="C184" s="138"/>
      <x:c r="D184" s="138"/>
      <x:c r="E184" s="138"/>
      <x:c r="F184" s="138"/>
      <x:c r="G184" s="138"/>
      <x:c r="H184" s="138"/>
      <x:c r="I184" s="138"/>
      <x:c r="J184" s="138"/>
      <x:c r="K184" s="138"/>
      <x:c r="L184" s="138"/>
      <x:c r="M184" s="138"/>
      <x:c r="N184" s="138"/>
      <x:c r="O184" s="138"/>
      <x:c r="P184" s="138"/>
      <x:c r="Q184" s="138"/>
      <x:c r="R184" s="138"/>
      <x:c r="S184" s="138"/>
      <x:c r="T184" s="138"/>
      <x:c r="U184" s="138"/>
      <x:c r="V184" s="138"/>
      <x:c r="W184" s="138"/>
      <x:c r="X184" s="138"/>
      <x:c r="Y184" s="138"/>
      <x:c r="Z184" s="138"/>
    </x:row>
    <x:row r="185">
      <x:c r="A185" s="138"/>
      <x:c r="B185" s="138"/>
      <x:c r="C185" s="138"/>
      <x:c r="D185" s="138"/>
      <x:c r="E185" s="138"/>
      <x:c r="F185" s="138"/>
      <x:c r="G185" s="138"/>
      <x:c r="H185" s="138"/>
      <x:c r="I185" s="138"/>
      <x:c r="J185" s="138"/>
      <x:c r="K185" s="138"/>
      <x:c r="L185" s="138"/>
      <x:c r="M185" s="138"/>
      <x:c r="N185" s="138"/>
      <x:c r="O185" s="138"/>
      <x:c r="P185" s="138"/>
      <x:c r="Q185" s="138"/>
      <x:c r="R185" s="138"/>
      <x:c r="S185" s="138"/>
      <x:c r="T185" s="138"/>
      <x:c r="U185" s="138"/>
      <x:c r="V185" s="138"/>
      <x:c r="W185" s="138"/>
      <x:c r="X185" s="138"/>
      <x:c r="Y185" s="138"/>
      <x:c r="Z185" s="138"/>
    </x:row>
    <x:row r="186">
      <x:c r="A186" s="138"/>
      <x:c r="B186" s="138"/>
      <x:c r="C186" s="138"/>
      <x:c r="D186" s="138"/>
      <x:c r="E186" s="138"/>
      <x:c r="F186" s="138"/>
      <x:c r="G186" s="138"/>
      <x:c r="H186" s="138"/>
      <x:c r="I186" s="138"/>
      <x:c r="J186" s="138"/>
      <x:c r="K186" s="138"/>
      <x:c r="L186" s="138"/>
      <x:c r="M186" s="138"/>
      <x:c r="N186" s="138"/>
      <x:c r="O186" s="138"/>
      <x:c r="P186" s="138"/>
      <x:c r="Q186" s="138"/>
      <x:c r="R186" s="138"/>
      <x:c r="S186" s="138"/>
      <x:c r="T186" s="138"/>
      <x:c r="U186" s="138"/>
      <x:c r="V186" s="138"/>
      <x:c r="W186" s="138"/>
      <x:c r="X186" s="138"/>
      <x:c r="Y186" s="138"/>
      <x:c r="Z186" s="138"/>
    </x:row>
    <x:row r="187">
      <x:c r="A187" s="138"/>
      <x:c r="B187" s="138"/>
      <x:c r="C187" s="138"/>
      <x:c r="D187" s="138"/>
      <x:c r="E187" s="138"/>
      <x:c r="F187" s="138"/>
      <x:c r="G187" s="138"/>
      <x:c r="H187" s="138"/>
      <x:c r="I187" s="138"/>
      <x:c r="J187" s="138"/>
      <x:c r="K187" s="138"/>
      <x:c r="L187" s="138"/>
      <x:c r="M187" s="138"/>
      <x:c r="N187" s="138"/>
      <x:c r="O187" s="138"/>
      <x:c r="P187" s="138"/>
      <x:c r="Q187" s="138"/>
      <x:c r="R187" s="138"/>
      <x:c r="S187" s="138"/>
      <x:c r="T187" s="138"/>
      <x:c r="U187" s="138"/>
      <x:c r="V187" s="138"/>
      <x:c r="W187" s="138"/>
      <x:c r="X187" s="138"/>
      <x:c r="Y187" s="138"/>
      <x:c r="Z187" s="138"/>
    </x:row>
    <x:row r="188">
      <x:c r="A188" s="138"/>
      <x:c r="B188" s="138"/>
      <x:c r="C188" s="138"/>
      <x:c r="D188" s="138"/>
      <x:c r="E188" s="138"/>
      <x:c r="F188" s="138"/>
      <x:c r="G188" s="138"/>
      <x:c r="H188" s="138"/>
      <x:c r="I188" s="138"/>
      <x:c r="J188" s="138"/>
      <x:c r="K188" s="138"/>
      <x:c r="L188" s="138"/>
      <x:c r="M188" s="138"/>
      <x:c r="N188" s="138"/>
      <x:c r="O188" s="138"/>
      <x:c r="P188" s="138"/>
      <x:c r="Q188" s="138"/>
      <x:c r="R188" s="138"/>
      <x:c r="S188" s="138"/>
      <x:c r="T188" s="138"/>
      <x:c r="U188" s="138"/>
      <x:c r="V188" s="138"/>
      <x:c r="W188" s="138"/>
      <x:c r="X188" s="138"/>
      <x:c r="Y188" s="138"/>
      <x:c r="Z188" s="138"/>
    </x:row>
    <x:row r="189">
      <x:c r="A189" s="138"/>
      <x:c r="B189" s="138"/>
      <x:c r="C189" s="138"/>
      <x:c r="D189" s="138"/>
      <x:c r="E189" s="138"/>
      <x:c r="F189" s="138"/>
      <x:c r="G189" s="138"/>
      <x:c r="H189" s="138"/>
      <x:c r="I189" s="138"/>
      <x:c r="J189" s="138"/>
      <x:c r="K189" s="138"/>
      <x:c r="L189" s="138"/>
      <x:c r="M189" s="138"/>
      <x:c r="N189" s="138"/>
      <x:c r="O189" s="138"/>
      <x:c r="P189" s="138"/>
      <x:c r="Q189" s="138"/>
      <x:c r="R189" s="138"/>
      <x:c r="S189" s="138"/>
      <x:c r="T189" s="138"/>
      <x:c r="U189" s="138"/>
      <x:c r="V189" s="138"/>
      <x:c r="W189" s="138"/>
      <x:c r="X189" s="138"/>
      <x:c r="Y189" s="138"/>
      <x:c r="Z189" s="138"/>
    </x:row>
    <x:row r="190">
      <x:c r="A190" s="138"/>
      <x:c r="B190" s="138"/>
      <x:c r="C190" s="138"/>
      <x:c r="D190" s="138"/>
      <x:c r="E190" s="138"/>
      <x:c r="F190" s="138"/>
      <x:c r="G190" s="138"/>
      <x:c r="H190" s="138"/>
      <x:c r="I190" s="138"/>
      <x:c r="J190" s="138"/>
      <x:c r="K190" s="138"/>
      <x:c r="L190" s="138"/>
      <x:c r="M190" s="138"/>
      <x:c r="N190" s="138"/>
      <x:c r="O190" s="138"/>
      <x:c r="P190" s="138"/>
      <x:c r="Q190" s="138"/>
      <x:c r="R190" s="138"/>
      <x:c r="S190" s="138"/>
      <x:c r="T190" s="138"/>
      <x:c r="U190" s="138"/>
      <x:c r="V190" s="138"/>
      <x:c r="W190" s="138"/>
      <x:c r="X190" s="138"/>
      <x:c r="Y190" s="138"/>
      <x:c r="Z190" s="138"/>
    </x:row>
    <x:row r="191">
      <x:c r="A191" s="138"/>
      <x:c r="B191" s="138"/>
      <x:c r="C191" s="138"/>
      <x:c r="D191" s="138"/>
      <x:c r="E191" s="138"/>
      <x:c r="F191" s="138"/>
      <x:c r="G191" s="138"/>
      <x:c r="H191" s="138"/>
      <x:c r="I191" s="138"/>
      <x:c r="J191" s="138"/>
      <x:c r="K191" s="138"/>
      <x:c r="L191" s="138"/>
      <x:c r="M191" s="138"/>
      <x:c r="N191" s="138"/>
      <x:c r="O191" s="138"/>
      <x:c r="P191" s="138"/>
      <x:c r="Q191" s="138"/>
      <x:c r="R191" s="138"/>
      <x:c r="S191" s="138"/>
      <x:c r="T191" s="138"/>
      <x:c r="U191" s="138"/>
      <x:c r="V191" s="138"/>
      <x:c r="W191" s="138"/>
      <x:c r="X191" s="138"/>
      <x:c r="Y191" s="138"/>
      <x:c r="Z191" s="138"/>
    </x:row>
    <x:row r="192">
      <x:c r="A192" s="138"/>
      <x:c r="B192" s="138"/>
      <x:c r="C192" s="138"/>
      <x:c r="D192" s="138"/>
      <x:c r="E192" s="138"/>
      <x:c r="F192" s="138"/>
      <x:c r="G192" s="138"/>
      <x:c r="H192" s="138"/>
      <x:c r="I192" s="138"/>
      <x:c r="J192" s="138"/>
      <x:c r="K192" s="138"/>
      <x:c r="L192" s="138"/>
      <x:c r="M192" s="138"/>
      <x:c r="N192" s="138"/>
      <x:c r="O192" s="138"/>
      <x:c r="P192" s="138"/>
      <x:c r="Q192" s="138"/>
      <x:c r="R192" s="138"/>
      <x:c r="S192" s="138"/>
      <x:c r="T192" s="138"/>
      <x:c r="U192" s="138"/>
      <x:c r="V192" s="138"/>
      <x:c r="W192" s="138"/>
      <x:c r="X192" s="138"/>
      <x:c r="Y192" s="138"/>
      <x:c r="Z192" s="138"/>
    </x:row>
    <x:row r="193">
      <x:c r="A193" s="138"/>
      <x:c r="B193" s="138"/>
      <x:c r="C193" s="138"/>
      <x:c r="D193" s="138"/>
      <x:c r="E193" s="138"/>
      <x:c r="F193" s="138"/>
      <x:c r="G193" s="138"/>
      <x:c r="H193" s="138"/>
      <x:c r="I193" s="138"/>
      <x:c r="J193" s="138"/>
      <x:c r="K193" s="138"/>
      <x:c r="L193" s="138"/>
      <x:c r="M193" s="138"/>
      <x:c r="N193" s="138"/>
      <x:c r="O193" s="138"/>
      <x:c r="P193" s="138"/>
      <x:c r="Q193" s="138"/>
      <x:c r="R193" s="138"/>
      <x:c r="S193" s="138"/>
      <x:c r="T193" s="138"/>
      <x:c r="U193" s="138"/>
      <x:c r="V193" s="138"/>
      <x:c r="W193" s="138"/>
      <x:c r="X193" s="138"/>
      <x:c r="Y193" s="138"/>
      <x:c r="Z193" s="138"/>
    </x:row>
    <x:row r="194">
      <x:c r="A194" s="138"/>
      <x:c r="B194" s="138"/>
      <x:c r="C194" s="138"/>
      <x:c r="D194" s="138"/>
      <x:c r="E194" s="138"/>
      <x:c r="F194" s="138"/>
      <x:c r="G194" s="138"/>
      <x:c r="H194" s="138"/>
      <x:c r="I194" s="138"/>
      <x:c r="J194" s="138"/>
      <x:c r="K194" s="138"/>
      <x:c r="L194" s="138"/>
      <x:c r="M194" s="138"/>
      <x:c r="N194" s="138"/>
      <x:c r="O194" s="138"/>
      <x:c r="P194" s="138"/>
      <x:c r="Q194" s="138"/>
      <x:c r="R194" s="138"/>
      <x:c r="S194" s="138"/>
      <x:c r="T194" s="138"/>
      <x:c r="U194" s="138"/>
      <x:c r="V194" s="138"/>
      <x:c r="W194" s="138"/>
      <x:c r="X194" s="138"/>
      <x:c r="Y194" s="138"/>
      <x:c r="Z194" s="138"/>
    </x:row>
    <x:row r="195">
      <x:c r="A195" s="138"/>
      <x:c r="B195" s="138"/>
      <x:c r="C195" s="138"/>
      <x:c r="D195" s="138"/>
      <x:c r="E195" s="138"/>
      <x:c r="F195" s="138"/>
      <x:c r="G195" s="138"/>
      <x:c r="H195" s="138"/>
      <x:c r="I195" s="138"/>
      <x:c r="J195" s="138"/>
      <x:c r="K195" s="138"/>
      <x:c r="L195" s="138"/>
      <x:c r="M195" s="138"/>
      <x:c r="N195" s="138"/>
      <x:c r="O195" s="138"/>
      <x:c r="P195" s="138"/>
      <x:c r="Q195" s="138"/>
      <x:c r="R195" s="138"/>
      <x:c r="S195" s="138"/>
      <x:c r="T195" s="138"/>
      <x:c r="U195" s="138"/>
      <x:c r="V195" s="138"/>
      <x:c r="W195" s="138"/>
      <x:c r="X195" s="138"/>
      <x:c r="Y195" s="138"/>
      <x:c r="Z195" s="138"/>
    </x:row>
    <x:row r="196">
      <x:c r="A196" s="138"/>
      <x:c r="B196" s="138"/>
      <x:c r="C196" s="138"/>
      <x:c r="D196" s="138"/>
      <x:c r="E196" s="138"/>
      <x:c r="F196" s="138"/>
      <x:c r="G196" s="138"/>
      <x:c r="H196" s="138"/>
      <x:c r="I196" s="138"/>
      <x:c r="J196" s="138"/>
      <x:c r="K196" s="138"/>
      <x:c r="L196" s="138"/>
      <x:c r="M196" s="138"/>
      <x:c r="N196" s="138"/>
      <x:c r="O196" s="138"/>
      <x:c r="P196" s="138"/>
      <x:c r="Q196" s="138"/>
      <x:c r="R196" s="138"/>
      <x:c r="S196" s="138"/>
      <x:c r="T196" s="138"/>
      <x:c r="U196" s="138"/>
      <x:c r="V196" s="138"/>
      <x:c r="W196" s="138"/>
      <x:c r="X196" s="138"/>
      <x:c r="Y196" s="138"/>
      <x:c r="Z196" s="138"/>
    </x:row>
    <x:row r="197">
      <x:c r="A197" s="138"/>
      <x:c r="B197" s="138"/>
      <x:c r="C197" s="138"/>
      <x:c r="D197" s="138"/>
      <x:c r="E197" s="138"/>
      <x:c r="F197" s="138"/>
      <x:c r="G197" s="138"/>
      <x:c r="H197" s="138"/>
      <x:c r="I197" s="138"/>
      <x:c r="J197" s="138"/>
      <x:c r="K197" s="138"/>
      <x:c r="L197" s="138"/>
      <x:c r="M197" s="138"/>
      <x:c r="N197" s="138"/>
      <x:c r="O197" s="138"/>
      <x:c r="P197" s="138"/>
      <x:c r="Q197" s="138"/>
      <x:c r="R197" s="138"/>
      <x:c r="S197" s="138"/>
      <x:c r="T197" s="138"/>
      <x:c r="U197" s="138"/>
      <x:c r="V197" s="138"/>
      <x:c r="W197" s="138"/>
      <x:c r="X197" s="138"/>
      <x:c r="Y197" s="138"/>
      <x:c r="Z197" s="138"/>
    </x:row>
    <x:row r="198">
      <x:c r="A198" s="138"/>
      <x:c r="B198" s="138"/>
      <x:c r="C198" s="138"/>
      <x:c r="D198" s="138"/>
      <x:c r="E198" s="138"/>
      <x:c r="F198" s="138"/>
      <x:c r="G198" s="138"/>
      <x:c r="H198" s="138"/>
      <x:c r="I198" s="138"/>
      <x:c r="J198" s="138"/>
      <x:c r="K198" s="138"/>
      <x:c r="L198" s="138"/>
      <x:c r="M198" s="138"/>
      <x:c r="N198" s="138"/>
      <x:c r="O198" s="138"/>
      <x:c r="P198" s="138"/>
      <x:c r="Q198" s="138"/>
      <x:c r="R198" s="138"/>
      <x:c r="S198" s="138"/>
      <x:c r="T198" s="138"/>
      <x:c r="U198" s="138"/>
      <x:c r="V198" s="138"/>
      <x:c r="W198" s="138"/>
      <x:c r="X198" s="138"/>
      <x:c r="Y198" s="138"/>
      <x:c r="Z198" s="138"/>
    </x:row>
    <x:row r="199">
      <x:c r="A199" s="138"/>
      <x:c r="B199" s="138"/>
      <x:c r="C199" s="138"/>
      <x:c r="D199" s="138"/>
      <x:c r="E199" s="138"/>
      <x:c r="F199" s="138"/>
      <x:c r="G199" s="138"/>
      <x:c r="H199" s="138"/>
      <x:c r="I199" s="138"/>
      <x:c r="J199" s="138"/>
      <x:c r="K199" s="138"/>
      <x:c r="L199" s="138"/>
      <x:c r="M199" s="138"/>
      <x:c r="N199" s="138"/>
      <x:c r="O199" s="138"/>
      <x:c r="P199" s="138"/>
      <x:c r="Q199" s="138"/>
      <x:c r="R199" s="138"/>
      <x:c r="S199" s="138"/>
      <x:c r="T199" s="138"/>
      <x:c r="U199" s="138"/>
      <x:c r="V199" s="138"/>
      <x:c r="W199" s="138"/>
      <x:c r="X199" s="138"/>
      <x:c r="Y199" s="138"/>
      <x:c r="Z199" s="138"/>
    </x:row>
    <x:row r="200">
      <x:c r="A200" s="138"/>
      <x:c r="B200" s="138"/>
      <x:c r="C200" s="138"/>
      <x:c r="D200" s="138"/>
      <x:c r="E200" s="138"/>
      <x:c r="F200" s="138"/>
      <x:c r="G200" s="138"/>
      <x:c r="H200" s="138"/>
      <x:c r="I200" s="138"/>
      <x:c r="J200" s="138"/>
      <x:c r="K200" s="138"/>
      <x:c r="L200" s="138"/>
      <x:c r="M200" s="138"/>
      <x:c r="N200" s="138"/>
      <x:c r="O200" s="138"/>
      <x:c r="P200" s="138"/>
      <x:c r="Q200" s="138"/>
      <x:c r="R200" s="138"/>
      <x:c r="S200" s="138"/>
      <x:c r="T200" s="138"/>
      <x:c r="U200" s="138"/>
      <x:c r="V200" s="138"/>
      <x:c r="W200" s="138"/>
      <x:c r="X200" s="138"/>
      <x:c r="Y200" s="138"/>
      <x:c r="Z200" s="138"/>
    </x:row>
  </x:sheetData>
  <x:mergeCells>
    <x:mergeCell ref="A1:L1"/>
    <x:mergeCell ref="A2:L2"/>
    <x:mergeCell ref="A4:L4"/>
    <x:mergeCell ref="B5:F5"/>
    <x:mergeCell ref="B6:F6"/>
    <x:mergeCell ref="B7:F7"/>
    <x:mergeCell ref="B8:F8"/>
    <x:mergeCell ref="B9:F9"/>
    <x:mergeCell ref="A12:L12"/>
    <x:mergeCell ref="H13:L13"/>
    <x:mergeCell ref="A23:L23"/>
    <x:mergeCell ref="B24:L24"/>
    <x:mergeCell ref="B25:L25"/>
    <x:mergeCell ref="B26:L26"/>
    <x:mergeCell ref="B27:L27"/>
    <x:mergeCell ref="B28:L28"/>
    <x:mergeCell ref="B29:L29"/>
  </x:mergeCells>
  <x:pageMargins left="0.7" right="0.7" top="0.75" bottom="0.75" header="0.3" footer="0.3"/>
  <x:drawing xmlns:r="http://schemas.openxmlformats.org/officeDocument/2006/relationships" r:id="Rd45138e76feb4f64"/>
</x:worksheet>
</file>